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an/Desktop/Business Statistics and Analysis/Master Review - Main /Financial Markets /Project:Case Study /MonteCarlo Sim /"/>
    </mc:Choice>
  </mc:AlternateContent>
  <xr:revisionPtr revIDLastSave="0" documentId="13_ncr:1_{6F290993-39E2-E246-A6D5-0770DF5B8FD9}" xr6:coauthVersionLast="47" xr6:coauthVersionMax="47" xr10:uidLastSave="{00000000-0000-0000-0000-000000000000}"/>
  <bookViews>
    <workbookView xWindow="0" yWindow="620" windowWidth="28800" windowHeight="18040" activeTab="3" xr2:uid="{7EF7556F-DF3A-2247-950B-669B9EED06EA}"/>
  </bookViews>
  <sheets>
    <sheet name="Summary Report" sheetId="5" r:id="rId1"/>
    <sheet name="Sunrise Financial Statement" sheetId="4" r:id="rId2"/>
    <sheet name="Data Descriptors" sheetId="2" r:id="rId3"/>
    <sheet name="FCF Monte Carlo Simulation" sheetId="3" r:id="rId4"/>
    <sheet name="References" sheetId="7" r:id="rId5"/>
  </sheets>
  <definedNames>
    <definedName name="_xlchart.v1.0" hidden="1">'FCF Monte Carlo Simulation'!$C$32</definedName>
    <definedName name="_xlchart.v1.1" hidden="1">'FCF Monte Carlo Simulation'!$C$33:$C$5033</definedName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'FCF Monte Carlo Simulation'!$D$35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2" l="1"/>
  <c r="K53" i="2"/>
  <c r="L53" i="2"/>
  <c r="J53" i="2"/>
  <c r="H29" i="3" l="1"/>
  <c r="H28" i="3"/>
  <c r="C23" i="3"/>
  <c r="C22" i="3"/>
  <c r="C21" i="3"/>
  <c r="C20" i="3"/>
  <c r="C19" i="3"/>
  <c r="C18" i="3"/>
  <c r="C17" i="3"/>
  <c r="D17" i="3" s="1"/>
  <c r="B14" i="3"/>
  <c r="H13" i="3"/>
  <c r="G13" i="3"/>
  <c r="F13" i="3"/>
  <c r="E13" i="3"/>
  <c r="D13" i="3"/>
  <c r="C13" i="3"/>
  <c r="B13" i="3"/>
  <c r="B10" i="3"/>
  <c r="C47" i="2"/>
  <c r="B42" i="2"/>
  <c r="B48" i="2" s="1"/>
  <c r="B51" i="2" s="1"/>
  <c r="G41" i="2"/>
  <c r="B41" i="2"/>
  <c r="B37" i="2"/>
  <c r="C36" i="2"/>
  <c r="D36" i="2" s="1"/>
  <c r="H35" i="2"/>
  <c r="G35" i="2"/>
  <c r="F35" i="2"/>
  <c r="E35" i="2"/>
  <c r="D35" i="2"/>
  <c r="C35" i="2"/>
  <c r="D31" i="2"/>
  <c r="E31" i="2" s="1"/>
  <c r="F31" i="2" s="1"/>
  <c r="G31" i="2" s="1"/>
  <c r="H31" i="2" s="1"/>
  <c r="B30" i="2"/>
  <c r="C30" i="2" s="1"/>
  <c r="H28" i="2"/>
  <c r="G28" i="2"/>
  <c r="F28" i="2"/>
  <c r="F41" i="2" s="1"/>
  <c r="F42" i="2" s="1"/>
  <c r="F48" i="2" s="1"/>
  <c r="E28" i="2"/>
  <c r="E41" i="2" s="1"/>
  <c r="D28" i="2"/>
  <c r="C28" i="2"/>
  <c r="C41" i="2" s="1"/>
  <c r="C42" i="2" s="1"/>
  <c r="C48" i="2" s="1"/>
  <c r="H21" i="2"/>
  <c r="H22" i="2" s="1"/>
  <c r="H46" i="2" s="1"/>
  <c r="F21" i="2"/>
  <c r="D21" i="2"/>
  <c r="H20" i="2"/>
  <c r="G20" i="2"/>
  <c r="F20" i="2"/>
  <c r="F22" i="2" s="1"/>
  <c r="F46" i="2" s="1"/>
  <c r="E20" i="2"/>
  <c r="E21" i="2" s="1"/>
  <c r="D20" i="2"/>
  <c r="C20" i="2"/>
  <c r="C21" i="2" s="1"/>
  <c r="C22" i="2" s="1"/>
  <c r="B13" i="2"/>
  <c r="B9" i="2"/>
  <c r="D22" i="2" l="1"/>
  <c r="D46" i="2" s="1"/>
  <c r="D41" i="2"/>
  <c r="D42" i="2" s="1"/>
  <c r="D48" i="2" s="1"/>
  <c r="C37" i="2"/>
  <c r="D26" i="3"/>
  <c r="D22" i="3" s="1"/>
  <c r="G42" i="2"/>
  <c r="G48" i="2" s="1"/>
  <c r="G21" i="2"/>
  <c r="G22" i="2" s="1"/>
  <c r="G46" i="2" s="1"/>
  <c r="G51" i="2" s="1"/>
  <c r="G57" i="2" s="1"/>
  <c r="H41" i="2"/>
  <c r="H42" i="2" s="1"/>
  <c r="H48" i="2" s="1"/>
  <c r="C46" i="2"/>
  <c r="C51" i="2" s="1"/>
  <c r="C57" i="2" s="1"/>
  <c r="D18" i="3"/>
  <c r="D21" i="3"/>
  <c r="D23" i="3"/>
  <c r="D20" i="3"/>
  <c r="D51" i="2"/>
  <c r="D57" i="2" s="1"/>
  <c r="F51" i="2"/>
  <c r="F57" i="2" s="1"/>
  <c r="C32" i="2"/>
  <c r="D30" i="2"/>
  <c r="B57" i="2"/>
  <c r="D37" i="2"/>
  <c r="E36" i="2"/>
  <c r="F36" i="2" s="1"/>
  <c r="B32" i="2"/>
  <c r="D27" i="3"/>
  <c r="B38" i="2"/>
  <c r="E22" i="2"/>
  <c r="E46" i="2" s="1"/>
  <c r="E42" i="2" l="1"/>
  <c r="E48" i="2" s="1"/>
  <c r="E51" i="2" s="1"/>
  <c r="E57" i="2" s="1"/>
  <c r="D19" i="3"/>
  <c r="G17" i="3" s="1"/>
  <c r="D33" i="3" s="1"/>
  <c r="B60" i="2"/>
  <c r="C60" i="2" s="1"/>
  <c r="D60" i="2" s="1"/>
  <c r="E37" i="2"/>
  <c r="G36" i="2"/>
  <c r="F37" i="2"/>
  <c r="D32" i="2"/>
  <c r="E30" i="2"/>
  <c r="C38" i="2"/>
  <c r="B39" i="2"/>
  <c r="B27" i="2" s="1"/>
  <c r="B33" i="2" s="1"/>
  <c r="B63" i="2"/>
  <c r="G16" i="3" l="1"/>
  <c r="C33" i="3" s="1"/>
  <c r="H35" i="3" s="1"/>
  <c r="E60" i="2"/>
  <c r="F60" i="2" s="1"/>
  <c r="G60" i="2" s="1"/>
  <c r="H23" i="3"/>
  <c r="H36" i="2"/>
  <c r="H37" i="2" s="1"/>
  <c r="G37" i="2"/>
  <c r="D38" i="2"/>
  <c r="C39" i="2"/>
  <c r="C27" i="2" s="1"/>
  <c r="C33" i="2" s="1"/>
  <c r="E32" i="2"/>
  <c r="F30" i="2"/>
  <c r="G26" i="3"/>
  <c r="H31" i="3"/>
  <c r="H25" i="3"/>
  <c r="H27" i="3"/>
  <c r="H24" i="3"/>
  <c r="H26" i="3"/>
  <c r="H32" i="3" l="1"/>
  <c r="G23" i="3"/>
  <c r="H34" i="3"/>
  <c r="G24" i="3"/>
  <c r="G27" i="3"/>
  <c r="G25" i="3"/>
  <c r="G28" i="3"/>
  <c r="H33" i="3"/>
  <c r="G29" i="3"/>
  <c r="F32" i="2"/>
  <c r="G30" i="2"/>
  <c r="E38" i="2"/>
  <c r="D39" i="2"/>
  <c r="D27" i="2" s="1"/>
  <c r="D33" i="2" s="1"/>
  <c r="F38" i="2" l="1"/>
  <c r="E39" i="2"/>
  <c r="E27" i="2" s="1"/>
  <c r="E33" i="2" s="1"/>
  <c r="G32" i="2"/>
  <c r="H30" i="2"/>
  <c r="H32" i="2" s="1"/>
  <c r="H50" i="2" l="1"/>
  <c r="H51" i="2" s="1"/>
  <c r="B64" i="2"/>
  <c r="B65" i="2" s="1"/>
  <c r="G38" i="2"/>
  <c r="F39" i="2"/>
  <c r="F27" i="2" s="1"/>
  <c r="F33" i="2" s="1"/>
  <c r="G39" i="2" l="1"/>
  <c r="G27" i="2" s="1"/>
  <c r="G33" i="2" s="1"/>
  <c r="H38" i="2"/>
  <c r="H39" i="2" s="1"/>
  <c r="H27" i="2" s="1"/>
  <c r="H33" i="2" s="1"/>
  <c r="H57" i="2"/>
  <c r="B54" i="2"/>
  <c r="B58" i="2" l="1"/>
  <c r="H60" i="2"/>
</calcChain>
</file>

<file path=xl/sharedStrings.xml><?xml version="1.0" encoding="utf-8"?>
<sst xmlns="http://schemas.openxmlformats.org/spreadsheetml/2006/main" count="140" uniqueCount="120">
  <si>
    <t>Sunrise Bakery</t>
  </si>
  <si>
    <t>Sunrise maintains a rough capital structure of about 25% debt and 75%equity.</t>
  </si>
  <si>
    <t>Assumptions</t>
  </si>
  <si>
    <t>Expected Investment Cost</t>
  </si>
  <si>
    <t>Debt Weight</t>
  </si>
  <si>
    <t>Equity Weight</t>
  </si>
  <si>
    <t>Risk Free Rate</t>
  </si>
  <si>
    <t>Market Beta</t>
  </si>
  <si>
    <t>&lt;-- I do not have to worry about un-levering each comparables Betas since it is stated in the question that 0.8 is the average</t>
  </si>
  <si>
    <t>Equity Risk Premium</t>
  </si>
  <si>
    <t>Cost of Debt</t>
  </si>
  <si>
    <t>Cost of Equity</t>
  </si>
  <si>
    <t xml:space="preserve">&lt;-- CAPM = Re  = Rf + β(Rpremium) </t>
  </si>
  <si>
    <t>Tax rate</t>
  </si>
  <si>
    <t>Debt Weight: Debt / (Equity+Debt)</t>
  </si>
  <si>
    <t>Equity Weight: Equity / (Equity + Debt)</t>
  </si>
  <si>
    <t>WACC</t>
  </si>
  <si>
    <r>
      <rPr>
        <sz val="10"/>
        <rFont val="Arial"/>
        <family val="2"/>
      </rPr>
      <t>&lt;-- WACC [Weighted Avg. Cost of Capital) = Equity Weight * Re + Debt Weight * Rd (1 - Tc)</t>
    </r>
  </si>
  <si>
    <t>Year</t>
  </si>
  <si>
    <t>Income statement (all figures are incremental)</t>
  </si>
  <si>
    <t>Revenue (Sales)</t>
  </si>
  <si>
    <t>Production Costs</t>
  </si>
  <si>
    <t>Depreciation / Amortization</t>
  </si>
  <si>
    <t xml:space="preserve">&lt;--- 10% annual reduction in the value of the oven </t>
  </si>
  <si>
    <t>Profit Before tax</t>
  </si>
  <si>
    <t xml:space="preserve">      as a depreciation expense</t>
  </si>
  <si>
    <t>Taxes (30%)</t>
  </si>
  <si>
    <t>Profit after tax (Net Income)</t>
  </si>
  <si>
    <t>Annual Investment rate recovery Sales / Cost</t>
  </si>
  <si>
    <t>* Sunrise estimates receivables at 1.5% of revenues and</t>
  </si>
  <si>
    <t>Projected Balance Sheet</t>
  </si>
  <si>
    <t xml:space="preserve">  payables at 2% of revenues each year.</t>
  </si>
  <si>
    <t>Cash and Marketable Sec.</t>
  </si>
  <si>
    <t>Other Current Assets (Inventory and Receivables)</t>
  </si>
  <si>
    <t>&lt;-- ≈ Rec. 1.5% of revenues</t>
  </si>
  <si>
    <t>Fixed Assets</t>
  </si>
  <si>
    <t xml:space="preserve">* Initial investment in an inventory of spare parts of $15,000. </t>
  </si>
  <si>
    <t xml:space="preserve">   At cost</t>
  </si>
  <si>
    <t>&lt;-- new machine cost</t>
  </si>
  <si>
    <t xml:space="preserve">  Problem did not state it was sold, so it carries over the projected periods. </t>
  </si>
  <si>
    <t xml:space="preserve">   Accumulated Depreciation / Amortization</t>
  </si>
  <si>
    <t xml:space="preserve">* 15% increase in incremental sales </t>
  </si>
  <si>
    <t xml:space="preserve">   Net Fixed Assets</t>
  </si>
  <si>
    <t>Total Assets</t>
  </si>
  <si>
    <t>Current Liabilities (Payables)</t>
  </si>
  <si>
    <t>&lt;-- ≈ payable 2% of revenues. I am assuming it was paid immediately</t>
  </si>
  <si>
    <t>LT Debt</t>
  </si>
  <si>
    <t xml:space="preserve">        and there’s no carryover payable</t>
  </si>
  <si>
    <t>Total Liabilities</t>
  </si>
  <si>
    <t>Stock and accumulated retained earnings</t>
  </si>
  <si>
    <t>&lt;-- Retained Earnings carry over while income statement does not</t>
  </si>
  <si>
    <t>Total Liabilities and Equity</t>
  </si>
  <si>
    <r>
      <t xml:space="preserve">&lt;-- Closing out project is </t>
    </r>
    <r>
      <rPr>
        <b/>
        <sz val="10"/>
        <color indexed="10"/>
        <rFont val="Arial"/>
        <family val="2"/>
      </rPr>
      <t xml:space="preserve">-$14,175 </t>
    </r>
    <r>
      <rPr>
        <b/>
        <sz val="10"/>
        <rFont val="Arial"/>
        <family val="2"/>
      </rPr>
      <t xml:space="preserve">because problem states At the end of the </t>
    </r>
  </si>
  <si>
    <t>Working Capital (Non-Cash Current Assets less Current Liabilities)</t>
  </si>
  <si>
    <t>&lt;-- Project / DCF/ FCF exclude Cash Assets</t>
  </si>
  <si>
    <t>Change in working capital</t>
  </si>
  <si>
    <t xml:space="preserve">     project, Erica expects to recover all of the working capital invested in the project.</t>
  </si>
  <si>
    <t>Projected Free Cash Flows to the Project</t>
  </si>
  <si>
    <t xml:space="preserve">  FCF =</t>
  </si>
  <si>
    <t>Net Income</t>
  </si>
  <si>
    <t xml:space="preserve">  NOPAT</t>
  </si>
  <si>
    <t xml:space="preserve">  - increase in WC</t>
  </si>
  <si>
    <t xml:space="preserve">  + depreciation</t>
  </si>
  <si>
    <t>Initial construction: 15,000</t>
  </si>
  <si>
    <t>Capital Expenditures (fixed assets at cost)</t>
  </si>
  <si>
    <t xml:space="preserve">  - Cap Ex</t>
  </si>
  <si>
    <t>Expenditure: 350,000</t>
  </si>
  <si>
    <t>After tax salvage value (Terminal Value)</t>
  </si>
  <si>
    <t xml:space="preserve">  + salvage value after tax</t>
  </si>
  <si>
    <t>Free Cash Flows</t>
  </si>
  <si>
    <t>IRR</t>
  </si>
  <si>
    <t>Does this beat the WACC?</t>
  </si>
  <si>
    <t>Yes</t>
  </si>
  <si>
    <t>NPV analysis (using the WACC)</t>
  </si>
  <si>
    <t>PV(Cash Flow) @ Discount rate</t>
  </si>
  <si>
    <t>NPV</t>
  </si>
  <si>
    <r>
      <t xml:space="preserve">Payback Analysis </t>
    </r>
    <r>
      <rPr>
        <sz val="10"/>
        <rFont val="Arial"/>
        <family val="2"/>
      </rPr>
      <t>(when do cash flows sum positive?)</t>
    </r>
  </si>
  <si>
    <t xml:space="preserve">  &lt;-- Year 4 is when this project starts to payback </t>
  </si>
  <si>
    <t>Return on invested capital</t>
  </si>
  <si>
    <t xml:space="preserve">   Average forecasted profit (net income)</t>
  </si>
  <si>
    <t xml:space="preserve">   Average capital invested (net fixed assets)</t>
  </si>
  <si>
    <t xml:space="preserve">   Ratio (ROIC)</t>
  </si>
  <si>
    <t xml:space="preserve">WACC </t>
  </si>
  <si>
    <t>First Stage Simulation</t>
  </si>
  <si>
    <t xml:space="preserve">Year </t>
  </si>
  <si>
    <t>CF</t>
  </si>
  <si>
    <t>Simulated CF</t>
  </si>
  <si>
    <t>Second Stage simulation (5,000 Replicas)</t>
  </si>
  <si>
    <t>Mean</t>
  </si>
  <si>
    <t>Medain</t>
  </si>
  <si>
    <t>Base for Simulation</t>
  </si>
  <si>
    <t>Max</t>
  </si>
  <si>
    <t xml:space="preserve">Mean (simulated CF) = </t>
  </si>
  <si>
    <t>Min</t>
  </si>
  <si>
    <t xml:space="preserve">STDEV (simulated CF) = </t>
  </si>
  <si>
    <t>STDEV</t>
  </si>
  <si>
    <t>Skewness</t>
  </si>
  <si>
    <t xml:space="preserve">Kurtosis </t>
  </si>
  <si>
    <t>Monte Carlo: 5,000 simulation</t>
  </si>
  <si>
    <t>Risk of Loss</t>
  </si>
  <si>
    <t>&lt;---COUNTIF(C33:C5033, "&lt; 0") / 5000</t>
  </si>
  <si>
    <t>Downside 5th percentile</t>
  </si>
  <si>
    <t>&lt;-- PERCENTILE.INC(C33:C5033, 0.05)</t>
  </si>
  <si>
    <t>Replication</t>
  </si>
  <si>
    <t>base 50th percentile</t>
  </si>
  <si>
    <t>&lt;-- PERCENTILE.INC($C$33:$C$5033, 0.5)</t>
  </si>
  <si>
    <t>Upside 95th percentile</t>
  </si>
  <si>
    <t>&lt;-- PERCENTILE.INC($C$33:$C$5033, 0.95)</t>
  </si>
  <si>
    <t>Expected Short Fall</t>
  </si>
  <si>
    <t>&lt;-- AVERAGEIF(C33:C5033, "&lt;="&amp;PERCENTILE.INC(C33:C5033, 0.05))</t>
  </si>
  <si>
    <t>(Avg of Worst 5%)</t>
  </si>
  <si>
    <t>Interpretation:</t>
  </si>
  <si>
    <t xml:space="preserve">From the 5000 simulations, this project has on average NPV &gt; 0 and IRR &gt; WACC. </t>
  </si>
  <si>
    <t xml:space="preserve">The max return from the project is $741, 361.66. </t>
  </si>
  <si>
    <t xml:space="preserve">The minimum return from the project is a loss of -$256,298.53 with IRR &lt; WACC. </t>
  </si>
  <si>
    <t xml:space="preserve">On average the simulation has a 3% negative NPV return. </t>
  </si>
  <si>
    <t>From 5,000 simulations, P(NPV&lt;0) =              . The 5th percentile is                              , the median is                               , and 95th percentile is </t>
  </si>
  <si>
    <t xml:space="preserve">The Expected Shortfall at 5% is                               , meaning that in the worst 5% of cases, the average outcome is </t>
  </si>
  <si>
    <t>loss. The average IRR is                 which is &gt; than WACC at 6.34%. Overall, downside looks limited relative to the central and upper outcomes under the current assumptions.</t>
  </si>
  <si>
    <t>** computes the average of all NPVs that are at or below the 5th-percentile cutoff, Ex:, the mean of the worst 5% outcomes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</si>
</sst>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000_);\(0.0000\)"/>
    <numFmt numFmtId="167" formatCode="_(&quot;$&quot;* #,##0_);_(&quot;$&quot;* \(#,##0\);_(&quot;$&quot;* &quot;-&quot;??_);_(@_)"/>
    <numFmt numFmtId="168" formatCode="0_);\(0\)"/>
    <numFmt numFmtId="169" formatCode="0.0%"/>
    <numFmt numFmtId="170" formatCode="0.000%"/>
  </numFmts>
  <fonts count="1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6"/>
      <color indexed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20"/>
      <color theme="1"/>
      <name val="Arial"/>
      <family val="2"/>
    </font>
    <font>
      <i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rial"/>
      <family val="2"/>
    </font>
    <font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15">
    <xf numFmtId="0" fontId="0" fillId="0" borderId="0" xfId="0"/>
    <xf numFmtId="0" fontId="3" fillId="0" borderId="0" xfId="4" applyFont="1"/>
    <xf numFmtId="0" fontId="2" fillId="0" borderId="0" xfId="4"/>
    <xf numFmtId="164" fontId="4" fillId="0" borderId="0" xfId="4" applyNumberFormat="1" applyFont="1" applyAlignment="1">
      <alignment horizontal="left"/>
    </xf>
    <xf numFmtId="0" fontId="4" fillId="0" borderId="0" xfId="4" applyFont="1" applyAlignment="1">
      <alignment horizontal="center"/>
    </xf>
    <xf numFmtId="0" fontId="4" fillId="0" borderId="0" xfId="4" applyFont="1"/>
    <xf numFmtId="165" fontId="2" fillId="2" borderId="1" xfId="4" applyNumberFormat="1" applyFill="1" applyBorder="1"/>
    <xf numFmtId="0" fontId="2" fillId="0" borderId="0" xfId="4" applyAlignment="1">
      <alignment horizontal="center"/>
    </xf>
    <xf numFmtId="9" fontId="2" fillId="0" borderId="0" xfId="4" applyNumberFormat="1" applyAlignment="1">
      <alignment horizontal="center"/>
    </xf>
    <xf numFmtId="9" fontId="2" fillId="0" borderId="0" xfId="4" applyNumberFormat="1"/>
    <xf numFmtId="10" fontId="2" fillId="3" borderId="1" xfId="4" applyNumberFormat="1" applyFill="1" applyBorder="1"/>
    <xf numFmtId="43" fontId="2" fillId="3" borderId="1" xfId="5" applyFont="1" applyFill="1" applyBorder="1"/>
    <xf numFmtId="10" fontId="2" fillId="3" borderId="1" xfId="6" applyNumberFormat="1" applyFont="1" applyFill="1" applyBorder="1"/>
    <xf numFmtId="10" fontId="2" fillId="0" borderId="0" xfId="4" applyNumberFormat="1"/>
    <xf numFmtId="9" fontId="2" fillId="2" borderId="1" xfId="4" applyNumberFormat="1" applyFill="1" applyBorder="1"/>
    <xf numFmtId="10" fontId="0" fillId="0" borderId="0" xfId="6" applyNumberFormat="1" applyFont="1"/>
    <xf numFmtId="0" fontId="2" fillId="0" borderId="2" xfId="4" applyBorder="1"/>
    <xf numFmtId="10" fontId="2" fillId="4" borderId="1" xfId="4" applyNumberFormat="1" applyFill="1" applyBorder="1"/>
    <xf numFmtId="0" fontId="4" fillId="0" borderId="0" xfId="4" quotePrefix="1" applyFont="1" applyAlignment="1">
      <alignment horizontal="left"/>
    </xf>
    <xf numFmtId="165" fontId="2" fillId="0" borderId="0" xfId="4" applyNumberFormat="1"/>
    <xf numFmtId="0" fontId="4" fillId="0" borderId="3" xfId="4" applyFont="1" applyBorder="1"/>
    <xf numFmtId="37" fontId="4" fillId="0" borderId="3" xfId="5" applyNumberFormat="1" applyFont="1" applyBorder="1" applyAlignment="1">
      <alignment horizontal="center"/>
    </xf>
    <xf numFmtId="164" fontId="2" fillId="0" borderId="0" xfId="4" applyNumberFormat="1"/>
    <xf numFmtId="6" fontId="2" fillId="0" borderId="0" xfId="4" applyNumberFormat="1"/>
    <xf numFmtId="0" fontId="2" fillId="0" borderId="4" xfId="4" applyBorder="1"/>
    <xf numFmtId="165" fontId="2" fillId="0" borderId="4" xfId="4" applyNumberFormat="1" applyBorder="1"/>
    <xf numFmtId="6" fontId="2" fillId="0" borderId="4" xfId="4" applyNumberFormat="1" applyBorder="1"/>
    <xf numFmtId="0" fontId="2" fillId="0" borderId="0" xfId="4" quotePrefix="1"/>
    <xf numFmtId="0" fontId="2" fillId="0" borderId="3" xfId="4" applyBorder="1"/>
    <xf numFmtId="165" fontId="2" fillId="0" borderId="3" xfId="4" applyNumberFormat="1" applyBorder="1"/>
    <xf numFmtId="10" fontId="0" fillId="0" borderId="0" xfId="6" applyNumberFormat="1" applyFont="1" applyFill="1" applyBorder="1"/>
    <xf numFmtId="166" fontId="2" fillId="0" borderId="0" xfId="4" applyNumberFormat="1"/>
    <xf numFmtId="9" fontId="0" fillId="0" borderId="0" xfId="6" applyFont="1" applyBorder="1"/>
    <xf numFmtId="37" fontId="4" fillId="0" borderId="3" xfId="5" applyNumberFormat="1" applyFont="1" applyBorder="1" applyAlignment="1">
      <alignment horizontal="right"/>
    </xf>
    <xf numFmtId="0" fontId="2" fillId="0" borderId="5" xfId="4" applyBorder="1"/>
    <xf numFmtId="165" fontId="2" fillId="0" borderId="5" xfId="4" applyNumberFormat="1" applyBorder="1"/>
    <xf numFmtId="0" fontId="4" fillId="0" borderId="6" xfId="4" applyFont="1" applyBorder="1"/>
    <xf numFmtId="165" fontId="2" fillId="0" borderId="6" xfId="4" applyNumberFormat="1" applyBorder="1"/>
    <xf numFmtId="165" fontId="2" fillId="0" borderId="0" xfId="4" quotePrefix="1" applyNumberFormat="1"/>
    <xf numFmtId="0" fontId="4" fillId="0" borderId="0" xfId="4" quotePrefix="1" applyFont="1"/>
    <xf numFmtId="0" fontId="2" fillId="5" borderId="0" xfId="4" applyFill="1"/>
    <xf numFmtId="165" fontId="2" fillId="5" borderId="0" xfId="4" applyNumberFormat="1" applyFill="1"/>
    <xf numFmtId="44" fontId="6" fillId="0" borderId="0" xfId="4" applyNumberFormat="1" applyFont="1"/>
    <xf numFmtId="167" fontId="6" fillId="5" borderId="0" xfId="4" applyNumberFormat="1" applyFont="1" applyFill="1"/>
    <xf numFmtId="167" fontId="6" fillId="0" borderId="0" xfId="4" applyNumberFormat="1" applyFont="1"/>
    <xf numFmtId="168" fontId="2" fillId="0" borderId="0" xfId="4" applyNumberFormat="1"/>
    <xf numFmtId="168" fontId="2" fillId="0" borderId="3" xfId="4" applyNumberFormat="1" applyBorder="1" applyAlignment="1">
      <alignment horizontal="right"/>
    </xf>
    <xf numFmtId="1" fontId="2" fillId="0" borderId="3" xfId="4" applyNumberFormat="1" applyBorder="1" applyAlignment="1">
      <alignment horizontal="right"/>
    </xf>
    <xf numFmtId="44" fontId="2" fillId="0" borderId="0" xfId="4" applyNumberFormat="1"/>
    <xf numFmtId="167" fontId="2" fillId="0" borderId="0" xfId="4" applyNumberFormat="1"/>
    <xf numFmtId="3" fontId="2" fillId="0" borderId="0" xfId="4" applyNumberFormat="1"/>
    <xf numFmtId="167" fontId="2" fillId="0" borderId="3" xfId="4" applyNumberFormat="1" applyBorder="1"/>
    <xf numFmtId="10" fontId="2" fillId="4" borderId="1" xfId="6" applyNumberFormat="1" applyFont="1" applyFill="1" applyBorder="1"/>
    <xf numFmtId="165" fontId="6" fillId="0" borderId="0" xfId="4" applyNumberFormat="1" applyFont="1"/>
    <xf numFmtId="0" fontId="2" fillId="4" borderId="1" xfId="4" applyFill="1" applyBorder="1"/>
    <xf numFmtId="165" fontId="2" fillId="4" borderId="1" xfId="4" applyNumberFormat="1" applyFill="1" applyBorder="1"/>
    <xf numFmtId="165" fontId="2" fillId="4" borderId="1" xfId="7" applyNumberFormat="1" applyFont="1" applyFill="1" applyBorder="1"/>
    <xf numFmtId="0" fontId="4" fillId="0" borderId="4" xfId="4" applyFont="1" applyBorder="1"/>
    <xf numFmtId="169" fontId="2" fillId="4" borderId="1" xfId="4" applyNumberFormat="1" applyFill="1" applyBorder="1"/>
    <xf numFmtId="1" fontId="2" fillId="0" borderId="0" xfId="4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/>
    <xf numFmtId="0" fontId="7" fillId="0" borderId="12" xfId="0" applyFont="1" applyBorder="1"/>
    <xf numFmtId="167" fontId="8" fillId="0" borderId="13" xfId="2" applyNumberFormat="1" applyFont="1" applyBorder="1"/>
    <xf numFmtId="167" fontId="8" fillId="0" borderId="14" xfId="2" applyNumberFormat="1" applyFont="1" applyBorder="1"/>
    <xf numFmtId="10" fontId="8" fillId="0" borderId="0" xfId="3" applyNumberFormat="1" applyFont="1"/>
    <xf numFmtId="10" fontId="8" fillId="0" borderId="0" xfId="0" applyNumberFormat="1" applyFont="1"/>
    <xf numFmtId="44" fontId="8" fillId="0" borderId="0" xfId="0" applyNumberFormat="1" applyFont="1"/>
    <xf numFmtId="0" fontId="8" fillId="0" borderId="3" xfId="0" applyFont="1" applyBorder="1"/>
    <xf numFmtId="0" fontId="8" fillId="3" borderId="9" xfId="0" applyFont="1" applyFill="1" applyBorder="1"/>
    <xf numFmtId="44" fontId="8" fillId="3" borderId="0" xfId="0" applyNumberFormat="1" applyFont="1" applyFill="1"/>
    <xf numFmtId="0" fontId="8" fillId="0" borderId="10" xfId="0" applyFont="1" applyBorder="1" applyAlignment="1">
      <alignment horizontal="center"/>
    </xf>
    <xf numFmtId="167" fontId="8" fillId="0" borderId="0" xfId="0" applyNumberFormat="1" applyFont="1"/>
    <xf numFmtId="167" fontId="8" fillId="0" borderId="11" xfId="0" applyNumberFormat="1" applyFont="1" applyBorder="1"/>
    <xf numFmtId="9" fontId="8" fillId="3" borderId="0" xfId="0" applyNumberFormat="1" applyFont="1" applyFill="1"/>
    <xf numFmtId="43" fontId="8" fillId="0" borderId="11" xfId="1" applyFont="1" applyBorder="1"/>
    <xf numFmtId="9" fontId="9" fillId="0" borderId="0" xfId="0" applyNumberFormat="1" applyFont="1"/>
    <xf numFmtId="0" fontId="9" fillId="0" borderId="3" xfId="0" applyFont="1" applyBorder="1"/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Continuous"/>
    </xf>
    <xf numFmtId="0" fontId="11" fillId="0" borderId="0" xfId="0" applyFont="1" applyAlignment="1">
      <alignment horizontal="centerContinuous"/>
    </xf>
    <xf numFmtId="0" fontId="8" fillId="0" borderId="15" xfId="0" applyFont="1" applyBorder="1" applyAlignment="1">
      <alignment horizontal="center"/>
    </xf>
    <xf numFmtId="167" fontId="8" fillId="0" borderId="3" xfId="0" applyNumberFormat="1" applyFont="1" applyBorder="1"/>
    <xf numFmtId="43" fontId="8" fillId="0" borderId="16" xfId="1" applyFont="1" applyBorder="1"/>
    <xf numFmtId="0" fontId="8" fillId="0" borderId="0" xfId="0" applyFont="1" applyAlignment="1">
      <alignment horizontal="left"/>
    </xf>
    <xf numFmtId="44" fontId="8" fillId="0" borderId="0" xfId="2" applyFont="1" applyFill="1" applyBorder="1" applyAlignment="1"/>
    <xf numFmtId="9" fontId="8" fillId="0" borderId="0" xfId="3" applyFont="1" applyFill="1" applyBorder="1" applyAlignment="1"/>
    <xf numFmtId="9" fontId="11" fillId="0" borderId="0" xfId="0" applyNumberFormat="1" applyFont="1"/>
    <xf numFmtId="9" fontId="8" fillId="0" borderId="0" xfId="2" applyNumberFormat="1" applyFont="1" applyFill="1" applyBorder="1" applyAlignment="1"/>
    <xf numFmtId="0" fontId="11" fillId="0" borderId="0" xfId="0" applyFont="1"/>
    <xf numFmtId="0" fontId="12" fillId="0" borderId="0" xfId="0" applyFont="1" applyAlignment="1">
      <alignment horizontal="centerContinuous"/>
    </xf>
    <xf numFmtId="44" fontId="8" fillId="0" borderId="0" xfId="2" applyFont="1"/>
    <xf numFmtId="9" fontId="8" fillId="0" borderId="0" xfId="3" applyFont="1" applyBorder="1"/>
    <xf numFmtId="0" fontId="13" fillId="0" borderId="0" xfId="0" applyFont="1"/>
    <xf numFmtId="43" fontId="8" fillId="0" borderId="0" xfId="1" applyFont="1" applyFill="1" applyBorder="1" applyAlignment="1"/>
    <xf numFmtId="2" fontId="8" fillId="0" borderId="0" xfId="3" applyNumberFormat="1" applyFont="1" applyBorder="1"/>
    <xf numFmtId="9" fontId="8" fillId="0" borderId="0" xfId="3" applyFont="1"/>
    <xf numFmtId="9" fontId="8" fillId="0" borderId="0" xfId="0" applyNumberFormat="1" applyFont="1"/>
    <xf numFmtId="0" fontId="0" fillId="0" borderId="3" xfId="0" applyBorder="1"/>
    <xf numFmtId="0" fontId="9" fillId="0" borderId="8" xfId="0" applyFont="1" applyBorder="1"/>
    <xf numFmtId="0" fontId="0" fillId="0" borderId="8" xfId="0" applyBorder="1"/>
    <xf numFmtId="0" fontId="9" fillId="0" borderId="9" xfId="0" applyFont="1" applyBorder="1"/>
    <xf numFmtId="0" fontId="9" fillId="0" borderId="11" xfId="0" applyFont="1" applyBorder="1"/>
    <xf numFmtId="0" fontId="8" fillId="0" borderId="15" xfId="0" applyFont="1" applyBorder="1"/>
    <xf numFmtId="0" fontId="9" fillId="0" borderId="16" xfId="0" applyFont="1" applyBorder="1"/>
    <xf numFmtId="170" fontId="2" fillId="0" borderId="0" xfId="3" applyNumberFormat="1" applyFont="1"/>
    <xf numFmtId="165" fontId="2" fillId="0" borderId="4" xfId="2" applyNumberFormat="1" applyFont="1" applyBorder="1"/>
    <xf numFmtId="0" fontId="2" fillId="0" borderId="0" xfId="4" applyAlignment="1">
      <alignment horizontal="center"/>
    </xf>
    <xf numFmtId="0" fontId="8" fillId="0" borderId="0" xfId="0" applyFont="1" applyAlignment="1">
      <alignment horizontal="center"/>
    </xf>
  </cellXfs>
  <cellStyles count="8">
    <cellStyle name="Comma" xfId="1" builtinId="3"/>
    <cellStyle name="Comma 2" xfId="5" xr:uid="{91CF3B92-D636-C64D-884F-4093FAF4E5B6}"/>
    <cellStyle name="Currency" xfId="2" builtinId="4"/>
    <cellStyle name="Currency 2" xfId="7" xr:uid="{6EA1E538-D057-2643-B1AC-C3AA6CD31EAC}"/>
    <cellStyle name="Normal" xfId="0" builtinId="0"/>
    <cellStyle name="Normal 2" xfId="4" xr:uid="{F7C790EF-4370-3347-9F3B-B1E24630D8F5}"/>
    <cellStyle name="Percent" xfId="3" builtinId="5"/>
    <cellStyle name="Percent 2" xfId="6" xr:uid="{A1018D76-68FD-8540-9162-9B59A7D67A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NPV of 5000 Replicas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2800">
              <a:solidFill>
                <a:schemeClr val="tx1"/>
              </a:solidFill>
            </a:defRPr>
          </a:pPr>
          <a:r>
            <a:rPr lang="en-US" sz="2800" b="0" i="0" u="none" strike="noStrike" baseline="0">
              <a:solidFill>
                <a:schemeClr val="tx1"/>
              </a:solidFill>
              <a:latin typeface="Aptos Narrow" panose="02110004020202020204"/>
            </a:rPr>
            <a:t>NPV of 5000 Replicas</a:t>
          </a:r>
        </a:p>
      </cx:txPr>
    </cx:title>
    <cx:plotArea>
      <cx:plotAreaRegion>
        <cx:series layoutId="clusteredColumn" uniqueId="{E75578DA-BFE5-A543-9C2E-52247A0CD8B3}">
          <cx:tx>
            <cx:txData>
              <cx:f>_xlchart.v1.0</cx:f>
              <cx:v>NPV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numFmt formatCode="$#,##0.00" sourceLinked="0"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201082</xdr:rowOff>
    </xdr:from>
    <xdr:to>
      <xdr:col>15</xdr:col>
      <xdr:colOff>63500</xdr:colOff>
      <xdr:row>41</xdr:row>
      <xdr:rowOff>195384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314D35-1C99-E543-AF27-1953A18811C1}"/>
            </a:ext>
          </a:extLst>
        </xdr:cNvPr>
        <xdr:cNvSpPr txBox="1"/>
      </xdr:nvSpPr>
      <xdr:spPr>
        <a:xfrm>
          <a:off x="830385" y="201082"/>
          <a:ext cx="11688884" cy="8405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Summary Report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latin typeface="Arial" panose="020B0604020202020204" pitchFamily="34" charset="0"/>
              <a:cs typeface="Arial" panose="020B0604020202020204" pitchFamily="34" charset="0"/>
            </a:rPr>
            <a:t>Key</a:t>
          </a: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 findings in this report: Sunrise Bakery (in $million)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1). Sunrise Bakery's WACC (weighted average cost of capital) with no preferred stocks is 6.34%.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2). Sunrise Bakery's projected net operating profit after tax is expected to grow 10% in year 2, 9% in year 3, 8% in year 4 and level out at 8% about $72,800 in year 5 and year 6.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3). Straight line depreciation at $35,000 for the next six years.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4). Changes in working capital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Year 0	Year 1	Year 2	Year 3	Year 4	Year 5	Year 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$15,000      $(675.00)         $(50.00)          $(50.00)          $(50.00)          $  -                  $(14,175)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5). Capital expenditures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Year 0	Year 1	Year 2	Year 3	Year 4	Year 5	Year 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$350,000 	$  - 	$  -	$  -	$  - 	$  - 	$  -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6). Salvage value after tax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Year 0	Year 1	Year 2	Year 3	Year 4	Year 5	Year 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$  -	 $  -	$  -	$  -	$  -	$  -	$140,000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7). IRR (internal rate of return) = 21.94%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8). NPV (net present value) = $236,491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9). Payback period = 4 years.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10). Average forecasted profit = $67,200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11). Average capital invested = $245,000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12). ROIC (return on invested capital) = 27.4%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Monte Carlo simulation (5000 replicas)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These replications have consistently resulted in NPV &gt; 0 and IRR &gt; WACC.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Please see the FCF Monte Carlo Simulation worksheet for the works.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>
              <a:latin typeface="Arial" panose="020B0604020202020204" pitchFamily="34" charset="0"/>
              <a:cs typeface="Arial" panose="020B0604020202020204" pitchFamily="34" charset="0"/>
            </a:rPr>
            <a:t>Interpretation of financial ratios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WACC : Average % cost, based on the proportion each component of the total capital of all the funds used by the firm to finance its assets.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         It is the average of a firm's debt and equity costs of capital, weighted by the fractions of the firm's value that corresponds to debt and equity.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            In other words, it is used as the discount rate to evaluate free cash flow. 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Working Capital : The resources that are needed to meet the daily, weekly, and monthly operating cash flow needs.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Capital Expenditure : Funds companies use to acquire, upgrade, or maintain physical assets like buildings, technology, or equipment, with the goal of increasing operational scope or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	           future economic benefits.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IRR : The discount rate that sets the NPV of a project equal to zero.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NPV : The present value of the cash inflows of a project minus the present value of the cash outflows of the project. 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Payback Period : Time duration it takes to earn back initial investment. 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ROIC : A financial metric that can help with assessing whether a company is creating value with its investments.</a:t>
          </a: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baseline="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15</xdr:col>
      <xdr:colOff>635000</xdr:colOff>
      <xdr:row>35</xdr:row>
      <xdr:rowOff>80951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0ABB84-E662-0E4B-BF5C-28A858206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3200"/>
          <a:ext cx="13017500" cy="69897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787400</xdr:colOff>
      <xdr:row>11</xdr:row>
      <xdr:rowOff>203200</xdr:rowOff>
    </xdr:from>
    <xdr:to>
      <xdr:col>19</xdr:col>
      <xdr:colOff>596900</xdr:colOff>
      <xdr:row>27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79ABFD7-511F-E540-BBF9-FE979A5138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151100" y="3733800"/>
              <a:ext cx="8369300" cy="5067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889001</xdr:colOff>
      <xdr:row>44</xdr:row>
      <xdr:rowOff>57727</xdr:rowOff>
    </xdr:from>
    <xdr:to>
      <xdr:col>9</xdr:col>
      <xdr:colOff>762000</xdr:colOff>
      <xdr:row>45</xdr:row>
      <xdr:rowOff>1</xdr:rowOff>
    </xdr:to>
    <xdr:sp macro="" textlink="$H$32">
      <xdr:nvSpPr>
        <xdr:cNvPr id="3" name="TextBox 2">
          <a:extLst>
            <a:ext uri="{FF2B5EF4-FFF2-40B4-BE49-F238E27FC236}">
              <a16:creationId xmlns:a16="http://schemas.microsoft.com/office/drawing/2014/main" id="{78E47DCC-04EA-5043-9ADD-75B3336B02A8}"/>
            </a:ext>
          </a:extLst>
        </xdr:cNvPr>
        <xdr:cNvSpPr txBox="1"/>
      </xdr:nvSpPr>
      <xdr:spPr>
        <a:xfrm>
          <a:off x="13981546" y="14351000"/>
          <a:ext cx="1154545" cy="2655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39FB78-FCE8-EF46-BD7E-31E9F797D163}" type="TxLink">
            <a:rPr lang="en-US" sz="14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 $40,685.47 </a:t>
          </a:fld>
          <a:endParaRPr lang="en-US" sz="1100"/>
        </a:p>
      </xdr:txBody>
    </xdr:sp>
    <xdr:clientData/>
  </xdr:twoCellAnchor>
  <xdr:twoCellAnchor>
    <xdr:from>
      <xdr:col>6</xdr:col>
      <xdr:colOff>1641765</xdr:colOff>
      <xdr:row>44</xdr:row>
      <xdr:rowOff>60036</xdr:rowOff>
    </xdr:from>
    <xdr:to>
      <xdr:col>7</xdr:col>
      <xdr:colOff>381000</xdr:colOff>
      <xdr:row>45</xdr:row>
      <xdr:rowOff>0</xdr:rowOff>
    </xdr:to>
    <xdr:sp macro="" textlink="$H$31">
      <xdr:nvSpPr>
        <xdr:cNvPr id="4" name="TextBox 3">
          <a:extLst>
            <a:ext uri="{FF2B5EF4-FFF2-40B4-BE49-F238E27FC236}">
              <a16:creationId xmlns:a16="http://schemas.microsoft.com/office/drawing/2014/main" id="{83C5ACA4-63BB-064D-BBC5-B247F4BE621E}"/>
            </a:ext>
          </a:extLst>
        </xdr:cNvPr>
        <xdr:cNvSpPr txBox="1"/>
      </xdr:nvSpPr>
      <xdr:spPr>
        <a:xfrm>
          <a:off x="11720947" y="14353309"/>
          <a:ext cx="505689" cy="2632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55D5383-96A3-3B49-8242-88C385E761BC}" type="TxLink">
            <a:rPr lang="en-US" sz="14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2%</a:t>
          </a:fld>
          <a:endParaRPr lang="en-US" sz="1100"/>
        </a:p>
      </xdr:txBody>
    </xdr:sp>
    <xdr:clientData/>
  </xdr:twoCellAnchor>
  <xdr:twoCellAnchor>
    <xdr:from>
      <xdr:col>11</xdr:col>
      <xdr:colOff>83128</xdr:colOff>
      <xdr:row>44</xdr:row>
      <xdr:rowOff>25399</xdr:rowOff>
    </xdr:from>
    <xdr:to>
      <xdr:col>12</xdr:col>
      <xdr:colOff>496455</xdr:colOff>
      <xdr:row>44</xdr:row>
      <xdr:rowOff>311726</xdr:rowOff>
    </xdr:to>
    <xdr:sp macro="" textlink="$H$33">
      <xdr:nvSpPr>
        <xdr:cNvPr id="5" name="TextBox 4">
          <a:extLst>
            <a:ext uri="{FF2B5EF4-FFF2-40B4-BE49-F238E27FC236}">
              <a16:creationId xmlns:a16="http://schemas.microsoft.com/office/drawing/2014/main" id="{30CAC9BD-2393-C44C-BF53-BFBD32CBDEA5}"/>
            </a:ext>
          </a:extLst>
        </xdr:cNvPr>
        <xdr:cNvSpPr txBox="1"/>
      </xdr:nvSpPr>
      <xdr:spPr>
        <a:xfrm>
          <a:off x="16419946" y="14318672"/>
          <a:ext cx="1244600" cy="286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F0B09DA-53EE-D740-9CB5-0AA69BC9A09A}" type="TxLink">
            <a:rPr lang="en-US" sz="14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 $259,818.53 </a:t>
          </a:fld>
          <a:endParaRPr lang="en-US" sz="1100"/>
        </a:p>
      </xdr:txBody>
    </xdr:sp>
    <xdr:clientData/>
  </xdr:twoCellAnchor>
  <xdr:twoCellAnchor>
    <xdr:from>
      <xdr:col>14</xdr:col>
      <xdr:colOff>731983</xdr:colOff>
      <xdr:row>44</xdr:row>
      <xdr:rowOff>50799</xdr:rowOff>
    </xdr:from>
    <xdr:to>
      <xdr:col>16</xdr:col>
      <xdr:colOff>314037</xdr:colOff>
      <xdr:row>45</xdr:row>
      <xdr:rowOff>13854</xdr:rowOff>
    </xdr:to>
    <xdr:sp macro="" textlink="$H$34">
      <xdr:nvSpPr>
        <xdr:cNvPr id="6" name="TextBox 5">
          <a:extLst>
            <a:ext uri="{FF2B5EF4-FFF2-40B4-BE49-F238E27FC236}">
              <a16:creationId xmlns:a16="http://schemas.microsoft.com/office/drawing/2014/main" id="{E6DC5B9B-51F2-304E-90FB-F2510E622B28}"/>
            </a:ext>
          </a:extLst>
        </xdr:cNvPr>
        <xdr:cNvSpPr txBox="1"/>
      </xdr:nvSpPr>
      <xdr:spPr>
        <a:xfrm>
          <a:off x="19562619" y="14344072"/>
          <a:ext cx="1244600" cy="286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E2E7ADB-424C-F546-B2ED-519F0E1150F5}" type="TxLink">
            <a:rPr lang="en-US" sz="14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 $476,603.72 </a:t>
          </a:fld>
          <a:endParaRPr lang="en-US" sz="1100"/>
        </a:p>
      </xdr:txBody>
    </xdr:sp>
    <xdr:clientData/>
  </xdr:twoCellAnchor>
  <xdr:twoCellAnchor>
    <xdr:from>
      <xdr:col>6</xdr:col>
      <xdr:colOff>1288473</xdr:colOff>
      <xdr:row>45</xdr:row>
      <xdr:rowOff>64655</xdr:rowOff>
    </xdr:from>
    <xdr:to>
      <xdr:col>7</xdr:col>
      <xdr:colOff>766619</xdr:colOff>
      <xdr:row>46</xdr:row>
      <xdr:rowOff>27709</xdr:rowOff>
    </xdr:to>
    <xdr:sp macro="" textlink="$H$35">
      <xdr:nvSpPr>
        <xdr:cNvPr id="7" name="TextBox 6">
          <a:extLst>
            <a:ext uri="{FF2B5EF4-FFF2-40B4-BE49-F238E27FC236}">
              <a16:creationId xmlns:a16="http://schemas.microsoft.com/office/drawing/2014/main" id="{5FB60965-05EF-9A44-90F1-80F0E1A2A20C}"/>
            </a:ext>
          </a:extLst>
        </xdr:cNvPr>
        <xdr:cNvSpPr txBox="1"/>
      </xdr:nvSpPr>
      <xdr:spPr>
        <a:xfrm>
          <a:off x="11367655" y="14681200"/>
          <a:ext cx="1244600" cy="286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2F2846-538A-1E4F-82D3-8576AB7F4B6F}" type="TxLink">
            <a:rPr lang="en-US" sz="1400" b="0" i="0" u="none" strike="noStrike">
              <a:solidFill>
                <a:srgbClr val="FF0000"/>
              </a:solidFill>
              <a:latin typeface="Arial"/>
              <a:cs typeface="Arial"/>
            </a:rPr>
            <a:pPr/>
            <a:t> $(8,029.71)</a:t>
          </a:fld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12</xdr:col>
      <xdr:colOff>355600</xdr:colOff>
      <xdr:row>45</xdr:row>
      <xdr:rowOff>43874</xdr:rowOff>
    </xdr:from>
    <xdr:to>
      <xdr:col>13</xdr:col>
      <xdr:colOff>768927</xdr:colOff>
      <xdr:row>46</xdr:row>
      <xdr:rowOff>6928</xdr:rowOff>
    </xdr:to>
    <xdr:sp macro="" textlink="$H$35">
      <xdr:nvSpPr>
        <xdr:cNvPr id="8" name="TextBox 7">
          <a:extLst>
            <a:ext uri="{FF2B5EF4-FFF2-40B4-BE49-F238E27FC236}">
              <a16:creationId xmlns:a16="http://schemas.microsoft.com/office/drawing/2014/main" id="{B1B28647-8A87-0D47-AB1D-2AA5749649AF}"/>
            </a:ext>
          </a:extLst>
        </xdr:cNvPr>
        <xdr:cNvSpPr txBox="1"/>
      </xdr:nvSpPr>
      <xdr:spPr>
        <a:xfrm>
          <a:off x="17523691" y="14660419"/>
          <a:ext cx="1244600" cy="28632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72F2846-538A-1E4F-82D3-8576AB7F4B6F}" type="TxLink">
            <a:rPr lang="en-US" sz="1400" b="0" i="0" u="none" strike="noStrike">
              <a:solidFill>
                <a:srgbClr val="FF0000"/>
              </a:solidFill>
              <a:latin typeface="Arial"/>
              <a:cs typeface="Arial"/>
            </a:rPr>
            <a:pPr/>
            <a:t> $(8,029.71)</a:t>
          </a:fld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731983</xdr:colOff>
      <xdr:row>46</xdr:row>
      <xdr:rowOff>62346</xdr:rowOff>
    </xdr:from>
    <xdr:to>
      <xdr:col>6</xdr:col>
      <xdr:colOff>1362363</xdr:colOff>
      <xdr:row>46</xdr:row>
      <xdr:rowOff>311727</xdr:rowOff>
    </xdr:to>
    <xdr:sp macro="" textlink="$G$17">
      <xdr:nvSpPr>
        <xdr:cNvPr id="9" name="TextBox 8">
          <a:extLst>
            <a:ext uri="{FF2B5EF4-FFF2-40B4-BE49-F238E27FC236}">
              <a16:creationId xmlns:a16="http://schemas.microsoft.com/office/drawing/2014/main" id="{FB18ABFD-29DC-034B-8932-E1201F50275B}"/>
            </a:ext>
          </a:extLst>
        </xdr:cNvPr>
        <xdr:cNvSpPr txBox="1"/>
      </xdr:nvSpPr>
      <xdr:spPr>
        <a:xfrm>
          <a:off x="10811165" y="15002164"/>
          <a:ext cx="630380" cy="2493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68F0B26-1AFC-A648-836D-3EAE928EFC99}" type="TxLink">
            <a:rPr lang="en-US" sz="1400" b="0" i="0" u="none" strike="noStrike">
              <a:solidFill>
                <a:srgbClr val="000000"/>
              </a:solidFill>
              <a:latin typeface="Arial"/>
              <a:cs typeface="Arial"/>
            </a:rPr>
            <a:pPr/>
            <a:t>22%</a:t>
          </a:fld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17</xdr:col>
      <xdr:colOff>622300</xdr:colOff>
      <xdr:row>28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9205557-F40E-B24E-88CC-420A34CE8CC7}"/>
            </a:ext>
          </a:extLst>
        </xdr:cNvPr>
        <xdr:cNvSpPr txBox="1"/>
      </xdr:nvSpPr>
      <xdr:spPr>
        <a:xfrm>
          <a:off x="825500" y="203200"/>
          <a:ext cx="13830300" cy="566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400" b="1">
              <a:latin typeface="Arial" panose="020B0604020202020204" pitchFamily="34" charset="0"/>
              <a:cs typeface="Arial" panose="020B0604020202020204" pitchFamily="34" charset="0"/>
            </a:rPr>
            <a:t>References</a:t>
          </a:r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1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</a:t>
          </a:r>
          <a:r>
            <a:rPr lang="en-US" sz="1200" b="0" i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Dahlquist, Julie, and Rainford Knight. “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17.1 The Concept of Capital Structure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.” 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Principles of Finance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OpenStax, </a:t>
          </a:r>
          <a:r>
            <a:rPr lang="en-US" sz="1200" b="1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24 Mar. 2022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 </a:t>
          </a:r>
          <a:r>
            <a:rPr lang="en-US" sz="1200" b="0" i="0">
              <a:effectLst/>
              <a:latin typeface="Arial" panose="020B0604020202020204" pitchFamily="34" charset="0"/>
              <a:cs typeface="Arial" panose="020B0604020202020204" pitchFamily="34" charset="0"/>
              <a:hlinkClick xmlns:r="http://schemas.openxmlformats.org/officeDocument/2006/relationships" r:id=""/>
            </a:rPr>
            <a:t>https://openstax.org/books/principles-finance/pages/17-1-the-concept-of-capital-structure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Accessed 8 Nov. 2025.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Fernando, J. (2025, July 18). 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Capital Expenditure (CapEx): Definitions, Formulas, and Real-World Examples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Investopedia. </a:t>
          </a:r>
          <a:r>
            <a:rPr lang="en-US" sz="1200" b="0" i="0">
              <a:effectLst/>
              <a:latin typeface="Arial" panose="020B0604020202020204" pitchFamily="34" charset="0"/>
              <a:cs typeface="Arial" panose="020B0604020202020204" pitchFamily="34" charset="0"/>
              <a:hlinkClick xmlns:r="http://schemas.openxmlformats.org/officeDocument/2006/relationships" r:id=""/>
            </a:rPr>
            <a:t>https://www.investopedia.com/terms/c/capitalexpenditure.asp</a:t>
          </a:r>
          <a:r>
            <a:rPr lang="en-US" sz="1200" b="0" i="0">
              <a:effectLst/>
              <a:latin typeface="Arial" panose="020B0604020202020204" pitchFamily="34" charset="0"/>
              <a:cs typeface="Arial" panose="020B0604020202020204" pitchFamily="34" charset="0"/>
            </a:rPr>
            <a:t>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Mauboussin, M. J., &amp; Callahan, D. (2022, October 6). 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Return on invested capital: How to calculate ROIC and handle common issues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Counterpoint Global Insights—Consilient Observer. Morgan Stanley Investment Management. </a:t>
          </a:r>
          <a:r>
            <a:rPr lang="en-US" sz="1200" b="0" i="0">
              <a:effectLst/>
              <a:latin typeface="Arial" panose="020B0604020202020204" pitchFamily="34" charset="0"/>
              <a:cs typeface="Arial" panose="020B0604020202020204" pitchFamily="34" charset="0"/>
              <a:hlinkClick xmlns:r="http://schemas.openxmlformats.org/officeDocument/2006/relationships" r:id=""/>
            </a:rPr>
            <a:t>https://www.morganstanley.com/im/publication/insights/articles/article_returnoninvestedcapital.pdf</a:t>
          </a:r>
          <a:endParaRPr lang="en-US" sz="1200" b="0" i="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200" b="0" i="0" u="none" strike="noStrike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 Rice University. (n.d.). </a:t>
          </a:r>
          <a:r>
            <a:rPr lang="en-US" sz="1200" b="0" i="1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Business Finance and Data Analysis Fundamentals (Specialization).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Coursera. </a:t>
          </a:r>
          <a:r>
            <a:rPr lang="en-US" sz="1200" b="0" i="0">
              <a:effectLst/>
              <a:latin typeface="Arial" panose="020B0604020202020204" pitchFamily="34" charset="0"/>
              <a:cs typeface="Arial" panose="020B0604020202020204" pitchFamily="34" charset="0"/>
              <a:hlinkClick xmlns:r="http://schemas.openxmlformats.org/officeDocument/2006/relationships" r:id=""/>
            </a:rPr>
            <a:t>https://www.coursera.org/specializations/pre-mba-quantitative-skills</a:t>
          </a:r>
          <a:r>
            <a:rPr lang="en-US" sz="1200" b="0" i="0" u="none" strike="noStrike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 (Accessed July 9, 2025)</a:t>
          </a: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US" sz="1100" b="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DDA0-84F5-E848-B3AE-A2760098489E}">
  <dimension ref="A1"/>
  <sheetViews>
    <sheetView zoomScale="130" zoomScaleNormal="130" workbookViewId="0">
      <selection activeCell="P10" sqref="P1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DD8D-E16E-1846-87A0-E9C9CE26CBD9}">
  <dimension ref="A1"/>
  <sheetViews>
    <sheetView workbookViewId="0">
      <selection activeCell="R7" sqref="R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E4B5-D367-F043-924A-16DF8D62D1BC}">
  <dimension ref="A1:M65"/>
  <sheetViews>
    <sheetView topLeftCell="A12" zoomScale="130" zoomScaleNormal="130" workbookViewId="0">
      <selection activeCell="C32" sqref="C32"/>
    </sheetView>
  </sheetViews>
  <sheetFormatPr baseColWidth="10" defaultColWidth="8.83203125" defaultRowHeight="13" x14ac:dyDescent="0.15"/>
  <cols>
    <col min="1" max="1" width="50.1640625" style="2" customWidth="1"/>
    <col min="2" max="2" width="10" style="2" customWidth="1"/>
    <col min="3" max="3" width="11.1640625" style="2" customWidth="1"/>
    <col min="4" max="4" width="11.1640625" style="2" bestFit="1" customWidth="1"/>
    <col min="5" max="8" width="9.1640625" style="2" customWidth="1"/>
    <col min="9" max="10" width="14" style="2" customWidth="1"/>
    <col min="11" max="256" width="8.83203125" style="2"/>
    <col min="257" max="257" width="50.1640625" style="2" customWidth="1"/>
    <col min="258" max="258" width="10" style="2" customWidth="1"/>
    <col min="259" max="259" width="11.1640625" style="2" customWidth="1"/>
    <col min="260" max="260" width="11.1640625" style="2" bestFit="1" customWidth="1"/>
    <col min="261" max="264" width="9.1640625" style="2" customWidth="1"/>
    <col min="265" max="266" width="14" style="2" customWidth="1"/>
    <col min="267" max="512" width="8.83203125" style="2"/>
    <col min="513" max="513" width="50.1640625" style="2" customWidth="1"/>
    <col min="514" max="514" width="10" style="2" customWidth="1"/>
    <col min="515" max="515" width="11.1640625" style="2" customWidth="1"/>
    <col min="516" max="516" width="11.1640625" style="2" bestFit="1" customWidth="1"/>
    <col min="517" max="520" width="9.1640625" style="2" customWidth="1"/>
    <col min="521" max="522" width="14" style="2" customWidth="1"/>
    <col min="523" max="768" width="8.83203125" style="2"/>
    <col min="769" max="769" width="50.1640625" style="2" customWidth="1"/>
    <col min="770" max="770" width="10" style="2" customWidth="1"/>
    <col min="771" max="771" width="11.1640625" style="2" customWidth="1"/>
    <col min="772" max="772" width="11.1640625" style="2" bestFit="1" customWidth="1"/>
    <col min="773" max="776" width="9.1640625" style="2" customWidth="1"/>
    <col min="777" max="778" width="14" style="2" customWidth="1"/>
    <col min="779" max="1024" width="8.83203125" style="2"/>
    <col min="1025" max="1025" width="50.1640625" style="2" customWidth="1"/>
    <col min="1026" max="1026" width="10" style="2" customWidth="1"/>
    <col min="1027" max="1027" width="11.1640625" style="2" customWidth="1"/>
    <col min="1028" max="1028" width="11.1640625" style="2" bestFit="1" customWidth="1"/>
    <col min="1029" max="1032" width="9.1640625" style="2" customWidth="1"/>
    <col min="1033" max="1034" width="14" style="2" customWidth="1"/>
    <col min="1035" max="1280" width="8.83203125" style="2"/>
    <col min="1281" max="1281" width="50.1640625" style="2" customWidth="1"/>
    <col min="1282" max="1282" width="10" style="2" customWidth="1"/>
    <col min="1283" max="1283" width="11.1640625" style="2" customWidth="1"/>
    <col min="1284" max="1284" width="11.1640625" style="2" bestFit="1" customWidth="1"/>
    <col min="1285" max="1288" width="9.1640625" style="2" customWidth="1"/>
    <col min="1289" max="1290" width="14" style="2" customWidth="1"/>
    <col min="1291" max="1536" width="8.83203125" style="2"/>
    <col min="1537" max="1537" width="50.1640625" style="2" customWidth="1"/>
    <col min="1538" max="1538" width="10" style="2" customWidth="1"/>
    <col min="1539" max="1539" width="11.1640625" style="2" customWidth="1"/>
    <col min="1540" max="1540" width="11.1640625" style="2" bestFit="1" customWidth="1"/>
    <col min="1541" max="1544" width="9.1640625" style="2" customWidth="1"/>
    <col min="1545" max="1546" width="14" style="2" customWidth="1"/>
    <col min="1547" max="1792" width="8.83203125" style="2"/>
    <col min="1793" max="1793" width="50.1640625" style="2" customWidth="1"/>
    <col min="1794" max="1794" width="10" style="2" customWidth="1"/>
    <col min="1795" max="1795" width="11.1640625" style="2" customWidth="1"/>
    <col min="1796" max="1796" width="11.1640625" style="2" bestFit="1" customWidth="1"/>
    <col min="1797" max="1800" width="9.1640625" style="2" customWidth="1"/>
    <col min="1801" max="1802" width="14" style="2" customWidth="1"/>
    <col min="1803" max="2048" width="8.83203125" style="2"/>
    <col min="2049" max="2049" width="50.1640625" style="2" customWidth="1"/>
    <col min="2050" max="2050" width="10" style="2" customWidth="1"/>
    <col min="2051" max="2051" width="11.1640625" style="2" customWidth="1"/>
    <col min="2052" max="2052" width="11.1640625" style="2" bestFit="1" customWidth="1"/>
    <col min="2053" max="2056" width="9.1640625" style="2" customWidth="1"/>
    <col min="2057" max="2058" width="14" style="2" customWidth="1"/>
    <col min="2059" max="2304" width="8.83203125" style="2"/>
    <col min="2305" max="2305" width="50.1640625" style="2" customWidth="1"/>
    <col min="2306" max="2306" width="10" style="2" customWidth="1"/>
    <col min="2307" max="2307" width="11.1640625" style="2" customWidth="1"/>
    <col min="2308" max="2308" width="11.1640625" style="2" bestFit="1" customWidth="1"/>
    <col min="2309" max="2312" width="9.1640625" style="2" customWidth="1"/>
    <col min="2313" max="2314" width="14" style="2" customWidth="1"/>
    <col min="2315" max="2560" width="8.83203125" style="2"/>
    <col min="2561" max="2561" width="50.1640625" style="2" customWidth="1"/>
    <col min="2562" max="2562" width="10" style="2" customWidth="1"/>
    <col min="2563" max="2563" width="11.1640625" style="2" customWidth="1"/>
    <col min="2564" max="2564" width="11.1640625" style="2" bestFit="1" customWidth="1"/>
    <col min="2565" max="2568" width="9.1640625" style="2" customWidth="1"/>
    <col min="2569" max="2570" width="14" style="2" customWidth="1"/>
    <col min="2571" max="2816" width="8.83203125" style="2"/>
    <col min="2817" max="2817" width="50.1640625" style="2" customWidth="1"/>
    <col min="2818" max="2818" width="10" style="2" customWidth="1"/>
    <col min="2819" max="2819" width="11.1640625" style="2" customWidth="1"/>
    <col min="2820" max="2820" width="11.1640625" style="2" bestFit="1" customWidth="1"/>
    <col min="2821" max="2824" width="9.1640625" style="2" customWidth="1"/>
    <col min="2825" max="2826" width="14" style="2" customWidth="1"/>
    <col min="2827" max="3072" width="8.83203125" style="2"/>
    <col min="3073" max="3073" width="50.1640625" style="2" customWidth="1"/>
    <col min="3074" max="3074" width="10" style="2" customWidth="1"/>
    <col min="3075" max="3075" width="11.1640625" style="2" customWidth="1"/>
    <col min="3076" max="3076" width="11.1640625" style="2" bestFit="1" customWidth="1"/>
    <col min="3077" max="3080" width="9.1640625" style="2" customWidth="1"/>
    <col min="3081" max="3082" width="14" style="2" customWidth="1"/>
    <col min="3083" max="3328" width="8.83203125" style="2"/>
    <col min="3329" max="3329" width="50.1640625" style="2" customWidth="1"/>
    <col min="3330" max="3330" width="10" style="2" customWidth="1"/>
    <col min="3331" max="3331" width="11.1640625" style="2" customWidth="1"/>
    <col min="3332" max="3332" width="11.1640625" style="2" bestFit="1" customWidth="1"/>
    <col min="3333" max="3336" width="9.1640625" style="2" customWidth="1"/>
    <col min="3337" max="3338" width="14" style="2" customWidth="1"/>
    <col min="3339" max="3584" width="8.83203125" style="2"/>
    <col min="3585" max="3585" width="50.1640625" style="2" customWidth="1"/>
    <col min="3586" max="3586" width="10" style="2" customWidth="1"/>
    <col min="3587" max="3587" width="11.1640625" style="2" customWidth="1"/>
    <col min="3588" max="3588" width="11.1640625" style="2" bestFit="1" customWidth="1"/>
    <col min="3589" max="3592" width="9.1640625" style="2" customWidth="1"/>
    <col min="3593" max="3594" width="14" style="2" customWidth="1"/>
    <col min="3595" max="3840" width="8.83203125" style="2"/>
    <col min="3841" max="3841" width="50.1640625" style="2" customWidth="1"/>
    <col min="3842" max="3842" width="10" style="2" customWidth="1"/>
    <col min="3843" max="3843" width="11.1640625" style="2" customWidth="1"/>
    <col min="3844" max="3844" width="11.1640625" style="2" bestFit="1" customWidth="1"/>
    <col min="3845" max="3848" width="9.1640625" style="2" customWidth="1"/>
    <col min="3849" max="3850" width="14" style="2" customWidth="1"/>
    <col min="3851" max="4096" width="8.83203125" style="2"/>
    <col min="4097" max="4097" width="50.1640625" style="2" customWidth="1"/>
    <col min="4098" max="4098" width="10" style="2" customWidth="1"/>
    <col min="4099" max="4099" width="11.1640625" style="2" customWidth="1"/>
    <col min="4100" max="4100" width="11.1640625" style="2" bestFit="1" customWidth="1"/>
    <col min="4101" max="4104" width="9.1640625" style="2" customWidth="1"/>
    <col min="4105" max="4106" width="14" style="2" customWidth="1"/>
    <col min="4107" max="4352" width="8.83203125" style="2"/>
    <col min="4353" max="4353" width="50.1640625" style="2" customWidth="1"/>
    <col min="4354" max="4354" width="10" style="2" customWidth="1"/>
    <col min="4355" max="4355" width="11.1640625" style="2" customWidth="1"/>
    <col min="4356" max="4356" width="11.1640625" style="2" bestFit="1" customWidth="1"/>
    <col min="4357" max="4360" width="9.1640625" style="2" customWidth="1"/>
    <col min="4361" max="4362" width="14" style="2" customWidth="1"/>
    <col min="4363" max="4608" width="8.83203125" style="2"/>
    <col min="4609" max="4609" width="50.1640625" style="2" customWidth="1"/>
    <col min="4610" max="4610" width="10" style="2" customWidth="1"/>
    <col min="4611" max="4611" width="11.1640625" style="2" customWidth="1"/>
    <col min="4612" max="4612" width="11.1640625" style="2" bestFit="1" customWidth="1"/>
    <col min="4613" max="4616" width="9.1640625" style="2" customWidth="1"/>
    <col min="4617" max="4618" width="14" style="2" customWidth="1"/>
    <col min="4619" max="4864" width="8.83203125" style="2"/>
    <col min="4865" max="4865" width="50.1640625" style="2" customWidth="1"/>
    <col min="4866" max="4866" width="10" style="2" customWidth="1"/>
    <col min="4867" max="4867" width="11.1640625" style="2" customWidth="1"/>
    <col min="4868" max="4868" width="11.1640625" style="2" bestFit="1" customWidth="1"/>
    <col min="4869" max="4872" width="9.1640625" style="2" customWidth="1"/>
    <col min="4873" max="4874" width="14" style="2" customWidth="1"/>
    <col min="4875" max="5120" width="8.83203125" style="2"/>
    <col min="5121" max="5121" width="50.1640625" style="2" customWidth="1"/>
    <col min="5122" max="5122" width="10" style="2" customWidth="1"/>
    <col min="5123" max="5123" width="11.1640625" style="2" customWidth="1"/>
    <col min="5124" max="5124" width="11.1640625" style="2" bestFit="1" customWidth="1"/>
    <col min="5125" max="5128" width="9.1640625" style="2" customWidth="1"/>
    <col min="5129" max="5130" width="14" style="2" customWidth="1"/>
    <col min="5131" max="5376" width="8.83203125" style="2"/>
    <col min="5377" max="5377" width="50.1640625" style="2" customWidth="1"/>
    <col min="5378" max="5378" width="10" style="2" customWidth="1"/>
    <col min="5379" max="5379" width="11.1640625" style="2" customWidth="1"/>
    <col min="5380" max="5380" width="11.1640625" style="2" bestFit="1" customWidth="1"/>
    <col min="5381" max="5384" width="9.1640625" style="2" customWidth="1"/>
    <col min="5385" max="5386" width="14" style="2" customWidth="1"/>
    <col min="5387" max="5632" width="8.83203125" style="2"/>
    <col min="5633" max="5633" width="50.1640625" style="2" customWidth="1"/>
    <col min="5634" max="5634" width="10" style="2" customWidth="1"/>
    <col min="5635" max="5635" width="11.1640625" style="2" customWidth="1"/>
    <col min="5636" max="5636" width="11.1640625" style="2" bestFit="1" customWidth="1"/>
    <col min="5637" max="5640" width="9.1640625" style="2" customWidth="1"/>
    <col min="5641" max="5642" width="14" style="2" customWidth="1"/>
    <col min="5643" max="5888" width="8.83203125" style="2"/>
    <col min="5889" max="5889" width="50.1640625" style="2" customWidth="1"/>
    <col min="5890" max="5890" width="10" style="2" customWidth="1"/>
    <col min="5891" max="5891" width="11.1640625" style="2" customWidth="1"/>
    <col min="5892" max="5892" width="11.1640625" style="2" bestFit="1" customWidth="1"/>
    <col min="5893" max="5896" width="9.1640625" style="2" customWidth="1"/>
    <col min="5897" max="5898" width="14" style="2" customWidth="1"/>
    <col min="5899" max="6144" width="8.83203125" style="2"/>
    <col min="6145" max="6145" width="50.1640625" style="2" customWidth="1"/>
    <col min="6146" max="6146" width="10" style="2" customWidth="1"/>
    <col min="6147" max="6147" width="11.1640625" style="2" customWidth="1"/>
    <col min="6148" max="6148" width="11.1640625" style="2" bestFit="1" customWidth="1"/>
    <col min="6149" max="6152" width="9.1640625" style="2" customWidth="1"/>
    <col min="6153" max="6154" width="14" style="2" customWidth="1"/>
    <col min="6155" max="6400" width="8.83203125" style="2"/>
    <col min="6401" max="6401" width="50.1640625" style="2" customWidth="1"/>
    <col min="6402" max="6402" width="10" style="2" customWidth="1"/>
    <col min="6403" max="6403" width="11.1640625" style="2" customWidth="1"/>
    <col min="6404" max="6404" width="11.1640625" style="2" bestFit="1" customWidth="1"/>
    <col min="6405" max="6408" width="9.1640625" style="2" customWidth="1"/>
    <col min="6409" max="6410" width="14" style="2" customWidth="1"/>
    <col min="6411" max="6656" width="8.83203125" style="2"/>
    <col min="6657" max="6657" width="50.1640625" style="2" customWidth="1"/>
    <col min="6658" max="6658" width="10" style="2" customWidth="1"/>
    <col min="6659" max="6659" width="11.1640625" style="2" customWidth="1"/>
    <col min="6660" max="6660" width="11.1640625" style="2" bestFit="1" customWidth="1"/>
    <col min="6661" max="6664" width="9.1640625" style="2" customWidth="1"/>
    <col min="6665" max="6666" width="14" style="2" customWidth="1"/>
    <col min="6667" max="6912" width="8.83203125" style="2"/>
    <col min="6913" max="6913" width="50.1640625" style="2" customWidth="1"/>
    <col min="6914" max="6914" width="10" style="2" customWidth="1"/>
    <col min="6915" max="6915" width="11.1640625" style="2" customWidth="1"/>
    <col min="6916" max="6916" width="11.1640625" style="2" bestFit="1" customWidth="1"/>
    <col min="6917" max="6920" width="9.1640625" style="2" customWidth="1"/>
    <col min="6921" max="6922" width="14" style="2" customWidth="1"/>
    <col min="6923" max="7168" width="8.83203125" style="2"/>
    <col min="7169" max="7169" width="50.1640625" style="2" customWidth="1"/>
    <col min="7170" max="7170" width="10" style="2" customWidth="1"/>
    <col min="7171" max="7171" width="11.1640625" style="2" customWidth="1"/>
    <col min="7172" max="7172" width="11.1640625" style="2" bestFit="1" customWidth="1"/>
    <col min="7173" max="7176" width="9.1640625" style="2" customWidth="1"/>
    <col min="7177" max="7178" width="14" style="2" customWidth="1"/>
    <col min="7179" max="7424" width="8.83203125" style="2"/>
    <col min="7425" max="7425" width="50.1640625" style="2" customWidth="1"/>
    <col min="7426" max="7426" width="10" style="2" customWidth="1"/>
    <col min="7427" max="7427" width="11.1640625" style="2" customWidth="1"/>
    <col min="7428" max="7428" width="11.1640625" style="2" bestFit="1" customWidth="1"/>
    <col min="7429" max="7432" width="9.1640625" style="2" customWidth="1"/>
    <col min="7433" max="7434" width="14" style="2" customWidth="1"/>
    <col min="7435" max="7680" width="8.83203125" style="2"/>
    <col min="7681" max="7681" width="50.1640625" style="2" customWidth="1"/>
    <col min="7682" max="7682" width="10" style="2" customWidth="1"/>
    <col min="7683" max="7683" width="11.1640625" style="2" customWidth="1"/>
    <col min="7684" max="7684" width="11.1640625" style="2" bestFit="1" customWidth="1"/>
    <col min="7685" max="7688" width="9.1640625" style="2" customWidth="1"/>
    <col min="7689" max="7690" width="14" style="2" customWidth="1"/>
    <col min="7691" max="7936" width="8.83203125" style="2"/>
    <col min="7937" max="7937" width="50.1640625" style="2" customWidth="1"/>
    <col min="7938" max="7938" width="10" style="2" customWidth="1"/>
    <col min="7939" max="7939" width="11.1640625" style="2" customWidth="1"/>
    <col min="7940" max="7940" width="11.1640625" style="2" bestFit="1" customWidth="1"/>
    <col min="7941" max="7944" width="9.1640625" style="2" customWidth="1"/>
    <col min="7945" max="7946" width="14" style="2" customWidth="1"/>
    <col min="7947" max="8192" width="8.83203125" style="2"/>
    <col min="8193" max="8193" width="50.1640625" style="2" customWidth="1"/>
    <col min="8194" max="8194" width="10" style="2" customWidth="1"/>
    <col min="8195" max="8195" width="11.1640625" style="2" customWidth="1"/>
    <col min="8196" max="8196" width="11.1640625" style="2" bestFit="1" customWidth="1"/>
    <col min="8197" max="8200" width="9.1640625" style="2" customWidth="1"/>
    <col min="8201" max="8202" width="14" style="2" customWidth="1"/>
    <col min="8203" max="8448" width="8.83203125" style="2"/>
    <col min="8449" max="8449" width="50.1640625" style="2" customWidth="1"/>
    <col min="8450" max="8450" width="10" style="2" customWidth="1"/>
    <col min="8451" max="8451" width="11.1640625" style="2" customWidth="1"/>
    <col min="8452" max="8452" width="11.1640625" style="2" bestFit="1" customWidth="1"/>
    <col min="8453" max="8456" width="9.1640625" style="2" customWidth="1"/>
    <col min="8457" max="8458" width="14" style="2" customWidth="1"/>
    <col min="8459" max="8704" width="8.83203125" style="2"/>
    <col min="8705" max="8705" width="50.1640625" style="2" customWidth="1"/>
    <col min="8706" max="8706" width="10" style="2" customWidth="1"/>
    <col min="8707" max="8707" width="11.1640625" style="2" customWidth="1"/>
    <col min="8708" max="8708" width="11.1640625" style="2" bestFit="1" customWidth="1"/>
    <col min="8709" max="8712" width="9.1640625" style="2" customWidth="1"/>
    <col min="8713" max="8714" width="14" style="2" customWidth="1"/>
    <col min="8715" max="8960" width="8.83203125" style="2"/>
    <col min="8961" max="8961" width="50.1640625" style="2" customWidth="1"/>
    <col min="8962" max="8962" width="10" style="2" customWidth="1"/>
    <col min="8963" max="8963" width="11.1640625" style="2" customWidth="1"/>
    <col min="8964" max="8964" width="11.1640625" style="2" bestFit="1" customWidth="1"/>
    <col min="8965" max="8968" width="9.1640625" style="2" customWidth="1"/>
    <col min="8969" max="8970" width="14" style="2" customWidth="1"/>
    <col min="8971" max="9216" width="8.83203125" style="2"/>
    <col min="9217" max="9217" width="50.1640625" style="2" customWidth="1"/>
    <col min="9218" max="9218" width="10" style="2" customWidth="1"/>
    <col min="9219" max="9219" width="11.1640625" style="2" customWidth="1"/>
    <col min="9220" max="9220" width="11.1640625" style="2" bestFit="1" customWidth="1"/>
    <col min="9221" max="9224" width="9.1640625" style="2" customWidth="1"/>
    <col min="9225" max="9226" width="14" style="2" customWidth="1"/>
    <col min="9227" max="9472" width="8.83203125" style="2"/>
    <col min="9473" max="9473" width="50.1640625" style="2" customWidth="1"/>
    <col min="9474" max="9474" width="10" style="2" customWidth="1"/>
    <col min="9475" max="9475" width="11.1640625" style="2" customWidth="1"/>
    <col min="9476" max="9476" width="11.1640625" style="2" bestFit="1" customWidth="1"/>
    <col min="9477" max="9480" width="9.1640625" style="2" customWidth="1"/>
    <col min="9481" max="9482" width="14" style="2" customWidth="1"/>
    <col min="9483" max="9728" width="8.83203125" style="2"/>
    <col min="9729" max="9729" width="50.1640625" style="2" customWidth="1"/>
    <col min="9730" max="9730" width="10" style="2" customWidth="1"/>
    <col min="9731" max="9731" width="11.1640625" style="2" customWidth="1"/>
    <col min="9732" max="9732" width="11.1640625" style="2" bestFit="1" customWidth="1"/>
    <col min="9733" max="9736" width="9.1640625" style="2" customWidth="1"/>
    <col min="9737" max="9738" width="14" style="2" customWidth="1"/>
    <col min="9739" max="9984" width="8.83203125" style="2"/>
    <col min="9985" max="9985" width="50.1640625" style="2" customWidth="1"/>
    <col min="9986" max="9986" width="10" style="2" customWidth="1"/>
    <col min="9987" max="9987" width="11.1640625" style="2" customWidth="1"/>
    <col min="9988" max="9988" width="11.1640625" style="2" bestFit="1" customWidth="1"/>
    <col min="9989" max="9992" width="9.1640625" style="2" customWidth="1"/>
    <col min="9993" max="9994" width="14" style="2" customWidth="1"/>
    <col min="9995" max="10240" width="8.83203125" style="2"/>
    <col min="10241" max="10241" width="50.1640625" style="2" customWidth="1"/>
    <col min="10242" max="10242" width="10" style="2" customWidth="1"/>
    <col min="10243" max="10243" width="11.1640625" style="2" customWidth="1"/>
    <col min="10244" max="10244" width="11.1640625" style="2" bestFit="1" customWidth="1"/>
    <col min="10245" max="10248" width="9.1640625" style="2" customWidth="1"/>
    <col min="10249" max="10250" width="14" style="2" customWidth="1"/>
    <col min="10251" max="10496" width="8.83203125" style="2"/>
    <col min="10497" max="10497" width="50.1640625" style="2" customWidth="1"/>
    <col min="10498" max="10498" width="10" style="2" customWidth="1"/>
    <col min="10499" max="10499" width="11.1640625" style="2" customWidth="1"/>
    <col min="10500" max="10500" width="11.1640625" style="2" bestFit="1" customWidth="1"/>
    <col min="10501" max="10504" width="9.1640625" style="2" customWidth="1"/>
    <col min="10505" max="10506" width="14" style="2" customWidth="1"/>
    <col min="10507" max="10752" width="8.83203125" style="2"/>
    <col min="10753" max="10753" width="50.1640625" style="2" customWidth="1"/>
    <col min="10754" max="10754" width="10" style="2" customWidth="1"/>
    <col min="10755" max="10755" width="11.1640625" style="2" customWidth="1"/>
    <col min="10756" max="10756" width="11.1640625" style="2" bestFit="1" customWidth="1"/>
    <col min="10757" max="10760" width="9.1640625" style="2" customWidth="1"/>
    <col min="10761" max="10762" width="14" style="2" customWidth="1"/>
    <col min="10763" max="11008" width="8.83203125" style="2"/>
    <col min="11009" max="11009" width="50.1640625" style="2" customWidth="1"/>
    <col min="11010" max="11010" width="10" style="2" customWidth="1"/>
    <col min="11011" max="11011" width="11.1640625" style="2" customWidth="1"/>
    <col min="11012" max="11012" width="11.1640625" style="2" bestFit="1" customWidth="1"/>
    <col min="11013" max="11016" width="9.1640625" style="2" customWidth="1"/>
    <col min="11017" max="11018" width="14" style="2" customWidth="1"/>
    <col min="11019" max="11264" width="8.83203125" style="2"/>
    <col min="11265" max="11265" width="50.1640625" style="2" customWidth="1"/>
    <col min="11266" max="11266" width="10" style="2" customWidth="1"/>
    <col min="11267" max="11267" width="11.1640625" style="2" customWidth="1"/>
    <col min="11268" max="11268" width="11.1640625" style="2" bestFit="1" customWidth="1"/>
    <col min="11269" max="11272" width="9.1640625" style="2" customWidth="1"/>
    <col min="11273" max="11274" width="14" style="2" customWidth="1"/>
    <col min="11275" max="11520" width="8.83203125" style="2"/>
    <col min="11521" max="11521" width="50.1640625" style="2" customWidth="1"/>
    <col min="11522" max="11522" width="10" style="2" customWidth="1"/>
    <col min="11523" max="11523" width="11.1640625" style="2" customWidth="1"/>
    <col min="11524" max="11524" width="11.1640625" style="2" bestFit="1" customWidth="1"/>
    <col min="11525" max="11528" width="9.1640625" style="2" customWidth="1"/>
    <col min="11529" max="11530" width="14" style="2" customWidth="1"/>
    <col min="11531" max="11776" width="8.83203125" style="2"/>
    <col min="11777" max="11777" width="50.1640625" style="2" customWidth="1"/>
    <col min="11778" max="11778" width="10" style="2" customWidth="1"/>
    <col min="11779" max="11779" width="11.1640625" style="2" customWidth="1"/>
    <col min="11780" max="11780" width="11.1640625" style="2" bestFit="1" customWidth="1"/>
    <col min="11781" max="11784" width="9.1640625" style="2" customWidth="1"/>
    <col min="11785" max="11786" width="14" style="2" customWidth="1"/>
    <col min="11787" max="12032" width="8.83203125" style="2"/>
    <col min="12033" max="12033" width="50.1640625" style="2" customWidth="1"/>
    <col min="12034" max="12034" width="10" style="2" customWidth="1"/>
    <col min="12035" max="12035" width="11.1640625" style="2" customWidth="1"/>
    <col min="12036" max="12036" width="11.1640625" style="2" bestFit="1" customWidth="1"/>
    <col min="12037" max="12040" width="9.1640625" style="2" customWidth="1"/>
    <col min="12041" max="12042" width="14" style="2" customWidth="1"/>
    <col min="12043" max="12288" width="8.83203125" style="2"/>
    <col min="12289" max="12289" width="50.1640625" style="2" customWidth="1"/>
    <col min="12290" max="12290" width="10" style="2" customWidth="1"/>
    <col min="12291" max="12291" width="11.1640625" style="2" customWidth="1"/>
    <col min="12292" max="12292" width="11.1640625" style="2" bestFit="1" customWidth="1"/>
    <col min="12293" max="12296" width="9.1640625" style="2" customWidth="1"/>
    <col min="12297" max="12298" width="14" style="2" customWidth="1"/>
    <col min="12299" max="12544" width="8.83203125" style="2"/>
    <col min="12545" max="12545" width="50.1640625" style="2" customWidth="1"/>
    <col min="12546" max="12546" width="10" style="2" customWidth="1"/>
    <col min="12547" max="12547" width="11.1640625" style="2" customWidth="1"/>
    <col min="12548" max="12548" width="11.1640625" style="2" bestFit="1" customWidth="1"/>
    <col min="12549" max="12552" width="9.1640625" style="2" customWidth="1"/>
    <col min="12553" max="12554" width="14" style="2" customWidth="1"/>
    <col min="12555" max="12800" width="8.83203125" style="2"/>
    <col min="12801" max="12801" width="50.1640625" style="2" customWidth="1"/>
    <col min="12802" max="12802" width="10" style="2" customWidth="1"/>
    <col min="12803" max="12803" width="11.1640625" style="2" customWidth="1"/>
    <col min="12804" max="12804" width="11.1640625" style="2" bestFit="1" customWidth="1"/>
    <col min="12805" max="12808" width="9.1640625" style="2" customWidth="1"/>
    <col min="12809" max="12810" width="14" style="2" customWidth="1"/>
    <col min="12811" max="13056" width="8.83203125" style="2"/>
    <col min="13057" max="13057" width="50.1640625" style="2" customWidth="1"/>
    <col min="13058" max="13058" width="10" style="2" customWidth="1"/>
    <col min="13059" max="13059" width="11.1640625" style="2" customWidth="1"/>
    <col min="13060" max="13060" width="11.1640625" style="2" bestFit="1" customWidth="1"/>
    <col min="13061" max="13064" width="9.1640625" style="2" customWidth="1"/>
    <col min="13065" max="13066" width="14" style="2" customWidth="1"/>
    <col min="13067" max="13312" width="8.83203125" style="2"/>
    <col min="13313" max="13313" width="50.1640625" style="2" customWidth="1"/>
    <col min="13314" max="13314" width="10" style="2" customWidth="1"/>
    <col min="13315" max="13315" width="11.1640625" style="2" customWidth="1"/>
    <col min="13316" max="13316" width="11.1640625" style="2" bestFit="1" customWidth="1"/>
    <col min="13317" max="13320" width="9.1640625" style="2" customWidth="1"/>
    <col min="13321" max="13322" width="14" style="2" customWidth="1"/>
    <col min="13323" max="13568" width="8.83203125" style="2"/>
    <col min="13569" max="13569" width="50.1640625" style="2" customWidth="1"/>
    <col min="13570" max="13570" width="10" style="2" customWidth="1"/>
    <col min="13571" max="13571" width="11.1640625" style="2" customWidth="1"/>
    <col min="13572" max="13572" width="11.1640625" style="2" bestFit="1" customWidth="1"/>
    <col min="13573" max="13576" width="9.1640625" style="2" customWidth="1"/>
    <col min="13577" max="13578" width="14" style="2" customWidth="1"/>
    <col min="13579" max="13824" width="8.83203125" style="2"/>
    <col min="13825" max="13825" width="50.1640625" style="2" customWidth="1"/>
    <col min="13826" max="13826" width="10" style="2" customWidth="1"/>
    <col min="13827" max="13827" width="11.1640625" style="2" customWidth="1"/>
    <col min="13828" max="13828" width="11.1640625" style="2" bestFit="1" customWidth="1"/>
    <col min="13829" max="13832" width="9.1640625" style="2" customWidth="1"/>
    <col min="13833" max="13834" width="14" style="2" customWidth="1"/>
    <col min="13835" max="14080" width="8.83203125" style="2"/>
    <col min="14081" max="14081" width="50.1640625" style="2" customWidth="1"/>
    <col min="14082" max="14082" width="10" style="2" customWidth="1"/>
    <col min="14083" max="14083" width="11.1640625" style="2" customWidth="1"/>
    <col min="14084" max="14084" width="11.1640625" style="2" bestFit="1" customWidth="1"/>
    <col min="14085" max="14088" width="9.1640625" style="2" customWidth="1"/>
    <col min="14089" max="14090" width="14" style="2" customWidth="1"/>
    <col min="14091" max="14336" width="8.83203125" style="2"/>
    <col min="14337" max="14337" width="50.1640625" style="2" customWidth="1"/>
    <col min="14338" max="14338" width="10" style="2" customWidth="1"/>
    <col min="14339" max="14339" width="11.1640625" style="2" customWidth="1"/>
    <col min="14340" max="14340" width="11.1640625" style="2" bestFit="1" customWidth="1"/>
    <col min="14341" max="14344" width="9.1640625" style="2" customWidth="1"/>
    <col min="14345" max="14346" width="14" style="2" customWidth="1"/>
    <col min="14347" max="14592" width="8.83203125" style="2"/>
    <col min="14593" max="14593" width="50.1640625" style="2" customWidth="1"/>
    <col min="14594" max="14594" width="10" style="2" customWidth="1"/>
    <col min="14595" max="14595" width="11.1640625" style="2" customWidth="1"/>
    <col min="14596" max="14596" width="11.1640625" style="2" bestFit="1" customWidth="1"/>
    <col min="14597" max="14600" width="9.1640625" style="2" customWidth="1"/>
    <col min="14601" max="14602" width="14" style="2" customWidth="1"/>
    <col min="14603" max="14848" width="8.83203125" style="2"/>
    <col min="14849" max="14849" width="50.1640625" style="2" customWidth="1"/>
    <col min="14850" max="14850" width="10" style="2" customWidth="1"/>
    <col min="14851" max="14851" width="11.1640625" style="2" customWidth="1"/>
    <col min="14852" max="14852" width="11.1640625" style="2" bestFit="1" customWidth="1"/>
    <col min="14853" max="14856" width="9.1640625" style="2" customWidth="1"/>
    <col min="14857" max="14858" width="14" style="2" customWidth="1"/>
    <col min="14859" max="15104" width="8.83203125" style="2"/>
    <col min="15105" max="15105" width="50.1640625" style="2" customWidth="1"/>
    <col min="15106" max="15106" width="10" style="2" customWidth="1"/>
    <col min="15107" max="15107" width="11.1640625" style="2" customWidth="1"/>
    <col min="15108" max="15108" width="11.1640625" style="2" bestFit="1" customWidth="1"/>
    <col min="15109" max="15112" width="9.1640625" style="2" customWidth="1"/>
    <col min="15113" max="15114" width="14" style="2" customWidth="1"/>
    <col min="15115" max="15360" width="8.83203125" style="2"/>
    <col min="15361" max="15361" width="50.1640625" style="2" customWidth="1"/>
    <col min="15362" max="15362" width="10" style="2" customWidth="1"/>
    <col min="15363" max="15363" width="11.1640625" style="2" customWidth="1"/>
    <col min="15364" max="15364" width="11.1640625" style="2" bestFit="1" customWidth="1"/>
    <col min="15365" max="15368" width="9.1640625" style="2" customWidth="1"/>
    <col min="15369" max="15370" width="14" style="2" customWidth="1"/>
    <col min="15371" max="15616" width="8.83203125" style="2"/>
    <col min="15617" max="15617" width="50.1640625" style="2" customWidth="1"/>
    <col min="15618" max="15618" width="10" style="2" customWidth="1"/>
    <col min="15619" max="15619" width="11.1640625" style="2" customWidth="1"/>
    <col min="15620" max="15620" width="11.1640625" style="2" bestFit="1" customWidth="1"/>
    <col min="15621" max="15624" width="9.1640625" style="2" customWidth="1"/>
    <col min="15625" max="15626" width="14" style="2" customWidth="1"/>
    <col min="15627" max="15872" width="8.83203125" style="2"/>
    <col min="15873" max="15873" width="50.1640625" style="2" customWidth="1"/>
    <col min="15874" max="15874" width="10" style="2" customWidth="1"/>
    <col min="15875" max="15875" width="11.1640625" style="2" customWidth="1"/>
    <col min="15876" max="15876" width="11.1640625" style="2" bestFit="1" customWidth="1"/>
    <col min="15877" max="15880" width="9.1640625" style="2" customWidth="1"/>
    <col min="15881" max="15882" width="14" style="2" customWidth="1"/>
    <col min="15883" max="16128" width="8.83203125" style="2"/>
    <col min="16129" max="16129" width="50.1640625" style="2" customWidth="1"/>
    <col min="16130" max="16130" width="10" style="2" customWidth="1"/>
    <col min="16131" max="16131" width="11.1640625" style="2" customWidth="1"/>
    <col min="16132" max="16132" width="11.1640625" style="2" bestFit="1" customWidth="1"/>
    <col min="16133" max="16136" width="9.1640625" style="2" customWidth="1"/>
    <col min="16137" max="16138" width="14" style="2" customWidth="1"/>
    <col min="16139" max="16384" width="8.83203125" style="2"/>
  </cols>
  <sheetData>
    <row r="1" spans="1:10" ht="20" x14ac:dyDescent="0.2">
      <c r="A1" s="1" t="s">
        <v>0</v>
      </c>
    </row>
    <row r="2" spans="1:10" ht="20" x14ac:dyDescent="0.2">
      <c r="A2" s="1"/>
      <c r="D2" s="3" t="s">
        <v>1</v>
      </c>
      <c r="E2" s="4"/>
      <c r="F2" s="4"/>
      <c r="G2" s="4"/>
    </row>
    <row r="3" spans="1:10" x14ac:dyDescent="0.15">
      <c r="A3" s="5" t="s">
        <v>2</v>
      </c>
      <c r="D3" s="3"/>
      <c r="E3" s="4"/>
      <c r="F3" s="4"/>
      <c r="G3" s="4"/>
    </row>
    <row r="4" spans="1:10" x14ac:dyDescent="0.15">
      <c r="A4" s="2" t="s">
        <v>3</v>
      </c>
      <c r="B4" s="6">
        <v>350000</v>
      </c>
      <c r="D4" s="7" t="s">
        <v>4</v>
      </c>
      <c r="E4" s="8">
        <v>0.25</v>
      </c>
      <c r="F4" s="7"/>
      <c r="G4" s="113" t="s">
        <v>5</v>
      </c>
      <c r="H4" s="113"/>
      <c r="I4" s="9">
        <v>0.75</v>
      </c>
    </row>
    <row r="5" spans="1:10" x14ac:dyDescent="0.15">
      <c r="A5" s="2" t="s">
        <v>6</v>
      </c>
      <c r="B5" s="10">
        <v>0.03</v>
      </c>
    </row>
    <row r="6" spans="1:10" x14ac:dyDescent="0.15">
      <c r="A6" s="2" t="s">
        <v>7</v>
      </c>
      <c r="B6" s="11">
        <v>0.8</v>
      </c>
      <c r="C6" s="5" t="s">
        <v>8</v>
      </c>
    </row>
    <row r="7" spans="1:10" x14ac:dyDescent="0.15">
      <c r="A7" s="2" t="s">
        <v>9</v>
      </c>
      <c r="B7" s="10">
        <v>5.5E-2</v>
      </c>
    </row>
    <row r="8" spans="1:10" x14ac:dyDescent="0.15">
      <c r="A8" s="2" t="s">
        <v>10</v>
      </c>
      <c r="B8" s="10">
        <v>4.4999999999999998E-2</v>
      </c>
    </row>
    <row r="9" spans="1:10" x14ac:dyDescent="0.15">
      <c r="A9" s="2" t="s">
        <v>11</v>
      </c>
      <c r="B9" s="12">
        <f>B5+B6*B7</f>
        <v>7.400000000000001E-2</v>
      </c>
      <c r="C9" s="2" t="s">
        <v>12</v>
      </c>
      <c r="D9" s="13"/>
    </row>
    <row r="10" spans="1:10" ht="16" x14ac:dyDescent="0.2">
      <c r="A10" s="2" t="s">
        <v>13</v>
      </c>
      <c r="B10" s="14">
        <v>0.3</v>
      </c>
      <c r="F10" s="15"/>
    </row>
    <row r="11" spans="1:10" x14ac:dyDescent="0.15">
      <c r="A11" s="2" t="s">
        <v>14</v>
      </c>
      <c r="B11" s="14">
        <v>0.25</v>
      </c>
      <c r="C11" s="4"/>
    </row>
    <row r="12" spans="1:10" x14ac:dyDescent="0.15">
      <c r="A12" s="16" t="s">
        <v>15</v>
      </c>
      <c r="B12" s="14">
        <v>0.75</v>
      </c>
      <c r="C12" s="4"/>
    </row>
    <row r="13" spans="1:10" x14ac:dyDescent="0.15">
      <c r="A13" s="2" t="s">
        <v>16</v>
      </c>
      <c r="B13" s="17">
        <f>(B12 * B9) + (B11 * B8 * (1 - B10))</f>
        <v>6.3375000000000015E-2</v>
      </c>
      <c r="C13" s="18" t="s">
        <v>17</v>
      </c>
    </row>
    <row r="14" spans="1:10" x14ac:dyDescent="0.15">
      <c r="B14" s="19"/>
      <c r="C14" s="4"/>
      <c r="D14" s="7"/>
      <c r="E14" s="7"/>
      <c r="F14" s="7"/>
      <c r="G14" s="7"/>
    </row>
    <row r="15" spans="1:10" x14ac:dyDescent="0.15">
      <c r="A15" s="2" t="s">
        <v>18</v>
      </c>
    </row>
    <row r="16" spans="1:10" ht="14" thickBot="1" x14ac:dyDescent="0.2">
      <c r="A16" s="20" t="s">
        <v>19</v>
      </c>
      <c r="B16" s="21">
        <v>0</v>
      </c>
      <c r="C16" s="21">
        <v>1</v>
      </c>
      <c r="D16" s="21">
        <v>2</v>
      </c>
      <c r="E16" s="21">
        <v>3</v>
      </c>
      <c r="F16" s="21">
        <v>4</v>
      </c>
      <c r="G16" s="21">
        <v>5</v>
      </c>
      <c r="H16" s="21">
        <v>6</v>
      </c>
      <c r="J16" s="22"/>
    </row>
    <row r="17" spans="1:12" x14ac:dyDescent="0.15">
      <c r="A17" s="2" t="s">
        <v>20</v>
      </c>
      <c r="C17" s="19">
        <v>135000</v>
      </c>
      <c r="D17" s="19">
        <v>145000</v>
      </c>
      <c r="E17" s="19">
        <v>155000</v>
      </c>
      <c r="F17" s="19">
        <v>165000</v>
      </c>
      <c r="G17" s="19">
        <v>165000</v>
      </c>
      <c r="H17" s="19">
        <v>165000</v>
      </c>
      <c r="K17" s="19"/>
    </row>
    <row r="18" spans="1:12" x14ac:dyDescent="0.15">
      <c r="A18" s="2" t="s">
        <v>21</v>
      </c>
      <c r="B18" s="19"/>
      <c r="C18" s="23">
        <v>-20000</v>
      </c>
      <c r="D18" s="23">
        <v>-22000</v>
      </c>
      <c r="E18" s="23">
        <v>-24000</v>
      </c>
      <c r="F18" s="23">
        <v>-26000</v>
      </c>
      <c r="G18" s="23">
        <v>-26000</v>
      </c>
      <c r="H18" s="23">
        <v>-26000</v>
      </c>
    </row>
    <row r="19" spans="1:12" x14ac:dyDescent="0.15">
      <c r="A19" s="24" t="s">
        <v>22</v>
      </c>
      <c r="B19" s="25"/>
      <c r="C19" s="26">
        <v>-35000</v>
      </c>
      <c r="D19" s="26">
        <v>-35000</v>
      </c>
      <c r="E19" s="26">
        <v>-35000</v>
      </c>
      <c r="F19" s="26">
        <v>-35000</v>
      </c>
      <c r="G19" s="26">
        <v>-35000</v>
      </c>
      <c r="H19" s="26">
        <v>-35000</v>
      </c>
      <c r="I19" s="27" t="s">
        <v>23</v>
      </c>
    </row>
    <row r="20" spans="1:12" x14ac:dyDescent="0.15">
      <c r="A20" s="2" t="s">
        <v>24</v>
      </c>
      <c r="B20" s="19"/>
      <c r="C20" s="19">
        <f t="shared" ref="C20:H20" si="0">C17+C18+C19</f>
        <v>80000</v>
      </c>
      <c r="D20" s="19">
        <f t="shared" si="0"/>
        <v>88000</v>
      </c>
      <c r="E20" s="19">
        <f t="shared" si="0"/>
        <v>96000</v>
      </c>
      <c r="F20" s="19">
        <f t="shared" si="0"/>
        <v>104000</v>
      </c>
      <c r="G20" s="19">
        <f t="shared" si="0"/>
        <v>104000</v>
      </c>
      <c r="H20" s="19">
        <f t="shared" si="0"/>
        <v>104000</v>
      </c>
      <c r="I20" s="2" t="s">
        <v>25</v>
      </c>
    </row>
    <row r="21" spans="1:12" x14ac:dyDescent="0.15">
      <c r="A21" s="24" t="s">
        <v>26</v>
      </c>
      <c r="B21" s="25"/>
      <c r="C21" s="26">
        <f t="shared" ref="C21:H21" si="1">-C20*$B$10</f>
        <v>-24000</v>
      </c>
      <c r="D21" s="26">
        <f t="shared" si="1"/>
        <v>-26400</v>
      </c>
      <c r="E21" s="26">
        <f t="shared" si="1"/>
        <v>-28800</v>
      </c>
      <c r="F21" s="26">
        <f t="shared" si="1"/>
        <v>-31200</v>
      </c>
      <c r="G21" s="26">
        <f t="shared" si="1"/>
        <v>-31200</v>
      </c>
      <c r="H21" s="26">
        <f t="shared" si="1"/>
        <v>-31200</v>
      </c>
      <c r="I21" s="23"/>
      <c r="J21" s="23"/>
    </row>
    <row r="22" spans="1:12" ht="17" thickBot="1" x14ac:dyDescent="0.25">
      <c r="A22" s="28" t="s">
        <v>27</v>
      </c>
      <c r="B22" s="29"/>
      <c r="C22" s="29">
        <f t="shared" ref="C22:H22" si="2">C20+C21</f>
        <v>56000</v>
      </c>
      <c r="D22" s="29">
        <f t="shared" si="2"/>
        <v>61600</v>
      </c>
      <c r="E22" s="29">
        <f t="shared" si="2"/>
        <v>67200</v>
      </c>
      <c r="F22" s="29">
        <f t="shared" si="2"/>
        <v>72800</v>
      </c>
      <c r="G22" s="29">
        <f t="shared" si="2"/>
        <v>72800</v>
      </c>
      <c r="H22" s="29">
        <f t="shared" si="2"/>
        <v>72800</v>
      </c>
      <c r="J22" s="30"/>
      <c r="K22" s="30"/>
      <c r="L22" s="30"/>
    </row>
    <row r="23" spans="1:12" x14ac:dyDescent="0.15">
      <c r="B23" s="19"/>
      <c r="C23" s="19"/>
      <c r="D23" s="19"/>
      <c r="E23" s="19"/>
      <c r="F23" s="19"/>
      <c r="G23" s="19"/>
      <c r="H23" s="19"/>
      <c r="J23" s="19"/>
      <c r="K23" s="19"/>
      <c r="L23" s="19"/>
    </row>
    <row r="24" spans="1:12" ht="14" customHeight="1" x14ac:dyDescent="0.2">
      <c r="A24" s="2" t="s">
        <v>28</v>
      </c>
      <c r="B24" s="31"/>
      <c r="C24" s="32">
        <v>0.55000000000000004</v>
      </c>
      <c r="D24" s="32">
        <v>0.35</v>
      </c>
      <c r="E24" s="32">
        <v>0.3</v>
      </c>
      <c r="F24" s="32">
        <v>0.1</v>
      </c>
      <c r="G24" s="32">
        <v>0.05</v>
      </c>
      <c r="H24" s="32">
        <v>1.05</v>
      </c>
    </row>
    <row r="25" spans="1:12" x14ac:dyDescent="0.15">
      <c r="B25" s="19"/>
      <c r="C25" s="19"/>
      <c r="D25" s="19"/>
      <c r="E25" s="19"/>
      <c r="F25" s="19"/>
      <c r="G25" s="19"/>
      <c r="H25" s="19"/>
      <c r="I25" s="2" t="s">
        <v>29</v>
      </c>
    </row>
    <row r="26" spans="1:12" ht="14" thickBot="1" x14ac:dyDescent="0.2">
      <c r="A26" s="20" t="s">
        <v>30</v>
      </c>
      <c r="B26" s="33">
        <v>0</v>
      </c>
      <c r="C26" s="33">
        <v>1</v>
      </c>
      <c r="D26" s="33">
        <v>2</v>
      </c>
      <c r="E26" s="33">
        <v>3</v>
      </c>
      <c r="F26" s="33">
        <v>4</v>
      </c>
      <c r="G26" s="33">
        <v>5</v>
      </c>
      <c r="H26" s="33">
        <v>6</v>
      </c>
      <c r="I26" s="2" t="s">
        <v>31</v>
      </c>
    </row>
    <row r="27" spans="1:12" x14ac:dyDescent="0.15">
      <c r="A27" s="2" t="s">
        <v>32</v>
      </c>
      <c r="B27" s="19">
        <f t="shared" ref="B27:H27" si="3">B39-B28-B32</f>
        <v>0</v>
      </c>
      <c r="C27" s="19">
        <f t="shared" si="3"/>
        <v>91675</v>
      </c>
      <c r="D27" s="19">
        <f>D39-D28-D32</f>
        <v>188325</v>
      </c>
      <c r="E27" s="19">
        <f t="shared" si="3"/>
        <v>290575</v>
      </c>
      <c r="F27" s="19">
        <f t="shared" si="3"/>
        <v>398425</v>
      </c>
      <c r="G27" s="19">
        <f t="shared" si="3"/>
        <v>506225</v>
      </c>
      <c r="H27" s="19">
        <f t="shared" si="3"/>
        <v>614025</v>
      </c>
    </row>
    <row r="28" spans="1:12" x14ac:dyDescent="0.15">
      <c r="A28" s="2" t="s">
        <v>33</v>
      </c>
      <c r="B28" s="19">
        <v>15000</v>
      </c>
      <c r="C28" s="19">
        <f t="shared" ref="C28:H28" si="4">15000+C17*0.015</f>
        <v>17025</v>
      </c>
      <c r="D28" s="19">
        <f t="shared" si="4"/>
        <v>17175</v>
      </c>
      <c r="E28" s="19">
        <f t="shared" si="4"/>
        <v>17325</v>
      </c>
      <c r="F28" s="19">
        <f t="shared" si="4"/>
        <v>17475</v>
      </c>
      <c r="G28" s="19">
        <f t="shared" si="4"/>
        <v>17475</v>
      </c>
      <c r="H28" s="19">
        <f t="shared" si="4"/>
        <v>17475</v>
      </c>
      <c r="I28" s="27" t="s">
        <v>34</v>
      </c>
    </row>
    <row r="29" spans="1:12" x14ac:dyDescent="0.15">
      <c r="A29" s="2" t="s">
        <v>35</v>
      </c>
      <c r="B29" s="19"/>
      <c r="C29" s="19"/>
      <c r="D29" s="19"/>
      <c r="E29" s="19"/>
      <c r="F29" s="19"/>
      <c r="G29" s="19"/>
      <c r="H29" s="19"/>
      <c r="K29" s="2" t="s">
        <v>36</v>
      </c>
    </row>
    <row r="30" spans="1:12" x14ac:dyDescent="0.15">
      <c r="A30" s="2" t="s">
        <v>37</v>
      </c>
      <c r="B30" s="19">
        <f>+B4</f>
        <v>350000</v>
      </c>
      <c r="C30" s="19">
        <f t="shared" ref="C30:H30" si="5">B30</f>
        <v>350000</v>
      </c>
      <c r="D30" s="19">
        <f t="shared" si="5"/>
        <v>350000</v>
      </c>
      <c r="E30" s="19">
        <f t="shared" si="5"/>
        <v>350000</v>
      </c>
      <c r="F30" s="19">
        <f t="shared" si="5"/>
        <v>350000</v>
      </c>
      <c r="G30" s="19">
        <f t="shared" si="5"/>
        <v>350000</v>
      </c>
      <c r="H30" s="19">
        <f t="shared" si="5"/>
        <v>350000</v>
      </c>
      <c r="I30" s="27" t="s">
        <v>38</v>
      </c>
      <c r="K30" s="5" t="s">
        <v>39</v>
      </c>
    </row>
    <row r="31" spans="1:12" x14ac:dyDescent="0.15">
      <c r="A31" s="24" t="s">
        <v>40</v>
      </c>
      <c r="B31" s="25">
        <v>0</v>
      </c>
      <c r="C31" s="25">
        <v>35000</v>
      </c>
      <c r="D31" s="25">
        <f>C31-D19</f>
        <v>70000</v>
      </c>
      <c r="E31" s="25">
        <f>D31-E19</f>
        <v>105000</v>
      </c>
      <c r="F31" s="25">
        <f>E31-F19</f>
        <v>140000</v>
      </c>
      <c r="G31" s="25">
        <f>F31-G19</f>
        <v>175000</v>
      </c>
      <c r="H31" s="25">
        <f>G31-H19</f>
        <v>210000</v>
      </c>
      <c r="I31" s="19"/>
      <c r="K31" s="27" t="s">
        <v>41</v>
      </c>
    </row>
    <row r="32" spans="1:12" x14ac:dyDescent="0.15">
      <c r="A32" s="34" t="s">
        <v>42</v>
      </c>
      <c r="B32" s="35">
        <f>+B30-B31</f>
        <v>350000</v>
      </c>
      <c r="C32" s="35">
        <f t="shared" ref="C32:H32" si="6">C30-C31</f>
        <v>315000</v>
      </c>
      <c r="D32" s="35">
        <f t="shared" si="6"/>
        <v>280000</v>
      </c>
      <c r="E32" s="35">
        <f t="shared" si="6"/>
        <v>245000</v>
      </c>
      <c r="F32" s="35">
        <f t="shared" si="6"/>
        <v>210000</v>
      </c>
      <c r="G32" s="35">
        <f t="shared" si="6"/>
        <v>175000</v>
      </c>
      <c r="H32" s="35">
        <f t="shared" si="6"/>
        <v>140000</v>
      </c>
      <c r="I32" s="19"/>
    </row>
    <row r="33" spans="1:11" ht="14" thickBot="1" x14ac:dyDescent="0.2">
      <c r="A33" s="36" t="s">
        <v>43</v>
      </c>
      <c r="B33" s="37">
        <f t="shared" ref="B33:H33" si="7">B32+B28+B27</f>
        <v>365000</v>
      </c>
      <c r="C33" s="37">
        <f t="shared" si="7"/>
        <v>423700</v>
      </c>
      <c r="D33" s="37">
        <f t="shared" si="7"/>
        <v>485500</v>
      </c>
      <c r="E33" s="37">
        <f t="shared" si="7"/>
        <v>552900</v>
      </c>
      <c r="F33" s="37">
        <f t="shared" si="7"/>
        <v>625900</v>
      </c>
      <c r="G33" s="37">
        <f t="shared" si="7"/>
        <v>698700</v>
      </c>
      <c r="H33" s="37">
        <f t="shared" si="7"/>
        <v>771500</v>
      </c>
    </row>
    <row r="34" spans="1:11" x14ac:dyDescent="0.15">
      <c r="A34" s="24"/>
      <c r="B34" s="25"/>
      <c r="C34" s="25"/>
      <c r="D34" s="25"/>
      <c r="E34" s="25"/>
      <c r="F34" s="25"/>
      <c r="G34" s="25"/>
      <c r="H34" s="25"/>
    </row>
    <row r="35" spans="1:11" x14ac:dyDescent="0.15">
      <c r="A35" s="2" t="s">
        <v>44</v>
      </c>
      <c r="B35" s="19">
        <v>0</v>
      </c>
      <c r="C35" s="19">
        <f t="shared" ref="C35:H35" si="8">C17*0.02</f>
        <v>2700</v>
      </c>
      <c r="D35" s="19">
        <f t="shared" si="8"/>
        <v>2900</v>
      </c>
      <c r="E35" s="19">
        <f t="shared" si="8"/>
        <v>3100</v>
      </c>
      <c r="F35" s="19">
        <f t="shared" si="8"/>
        <v>3300</v>
      </c>
      <c r="G35" s="19">
        <f t="shared" si="8"/>
        <v>3300</v>
      </c>
      <c r="H35" s="19">
        <f t="shared" si="8"/>
        <v>3300</v>
      </c>
      <c r="I35" s="27" t="s">
        <v>45</v>
      </c>
    </row>
    <row r="36" spans="1:11" x14ac:dyDescent="0.15">
      <c r="A36" s="24" t="s">
        <v>46</v>
      </c>
      <c r="B36" s="25">
        <v>0</v>
      </c>
      <c r="C36" s="25">
        <f t="shared" ref="C36:H36" si="9">B36</f>
        <v>0</v>
      </c>
      <c r="D36" s="25">
        <f t="shared" si="9"/>
        <v>0</v>
      </c>
      <c r="E36" s="25">
        <f t="shared" si="9"/>
        <v>0</v>
      </c>
      <c r="F36" s="25">
        <f t="shared" si="9"/>
        <v>0</v>
      </c>
      <c r="G36" s="25">
        <f t="shared" si="9"/>
        <v>0</v>
      </c>
      <c r="H36" s="25">
        <f t="shared" si="9"/>
        <v>0</v>
      </c>
      <c r="I36" s="2" t="s">
        <v>47</v>
      </c>
    </row>
    <row r="37" spans="1:11" x14ac:dyDescent="0.15">
      <c r="A37" s="2" t="s">
        <v>48</v>
      </c>
      <c r="B37" s="19">
        <f t="shared" ref="B37:G37" si="10">+B35+B36</f>
        <v>0</v>
      </c>
      <c r="C37" s="19">
        <f t="shared" si="10"/>
        <v>2700</v>
      </c>
      <c r="D37" s="19">
        <f t="shared" si="10"/>
        <v>2900</v>
      </c>
      <c r="E37" s="19">
        <f t="shared" si="10"/>
        <v>3100</v>
      </c>
      <c r="F37" s="19">
        <f t="shared" si="10"/>
        <v>3300</v>
      </c>
      <c r="G37" s="19">
        <f t="shared" si="10"/>
        <v>3300</v>
      </c>
      <c r="H37" s="19">
        <f>+H35+H36</f>
        <v>3300</v>
      </c>
    </row>
    <row r="38" spans="1:11" x14ac:dyDescent="0.15">
      <c r="A38" s="24" t="s">
        <v>49</v>
      </c>
      <c r="B38" s="25">
        <f>B30+B28</f>
        <v>365000</v>
      </c>
      <c r="C38" s="25">
        <f t="shared" ref="C38:H38" si="11">B38+C22</f>
        <v>421000</v>
      </c>
      <c r="D38" s="25">
        <f t="shared" si="11"/>
        <v>482600</v>
      </c>
      <c r="E38" s="25">
        <f t="shared" si="11"/>
        <v>549800</v>
      </c>
      <c r="F38" s="25">
        <f t="shared" si="11"/>
        <v>622600</v>
      </c>
      <c r="G38" s="25">
        <f t="shared" si="11"/>
        <v>695400</v>
      </c>
      <c r="H38" s="25">
        <f t="shared" si="11"/>
        <v>768200</v>
      </c>
      <c r="I38" s="38" t="s">
        <v>50</v>
      </c>
    </row>
    <row r="39" spans="1:11" ht="14" thickBot="1" x14ac:dyDescent="0.2">
      <c r="A39" s="36" t="s">
        <v>51</v>
      </c>
      <c r="B39" s="37">
        <f t="shared" ref="B39:H39" si="12">B38+B37</f>
        <v>365000</v>
      </c>
      <c r="C39" s="37">
        <f t="shared" si="12"/>
        <v>423700</v>
      </c>
      <c r="D39" s="37">
        <f t="shared" si="12"/>
        <v>485500</v>
      </c>
      <c r="E39" s="37">
        <f t="shared" si="12"/>
        <v>552900</v>
      </c>
      <c r="F39" s="37">
        <f t="shared" si="12"/>
        <v>625900</v>
      </c>
      <c r="G39" s="37">
        <f t="shared" si="12"/>
        <v>698700</v>
      </c>
      <c r="H39" s="37">
        <f t="shared" si="12"/>
        <v>771500</v>
      </c>
      <c r="I39" s="19"/>
    </row>
    <row r="40" spans="1:11" x14ac:dyDescent="0.15">
      <c r="B40" s="19"/>
      <c r="C40" s="19"/>
      <c r="D40" s="19"/>
      <c r="E40" s="19"/>
      <c r="F40" s="19"/>
      <c r="G40" s="19"/>
      <c r="H40" s="19"/>
      <c r="J40" s="39" t="s">
        <v>52</v>
      </c>
    </row>
    <row r="41" spans="1:11" x14ac:dyDescent="0.15">
      <c r="A41" s="2" t="s">
        <v>53</v>
      </c>
      <c r="B41" s="19">
        <f>B28 - B35</f>
        <v>15000</v>
      </c>
      <c r="C41" s="19">
        <f t="shared" ref="C41:H41" si="13">C28 - C35</f>
        <v>14325</v>
      </c>
      <c r="D41" s="19">
        <f t="shared" si="13"/>
        <v>14275</v>
      </c>
      <c r="E41" s="19">
        <f t="shared" si="13"/>
        <v>14225</v>
      </c>
      <c r="F41" s="19">
        <f t="shared" si="13"/>
        <v>14175</v>
      </c>
      <c r="G41" s="19">
        <f t="shared" si="13"/>
        <v>14175</v>
      </c>
      <c r="H41" s="19">
        <f t="shared" si="13"/>
        <v>14175</v>
      </c>
      <c r="I41" s="2" t="s">
        <v>54</v>
      </c>
    </row>
    <row r="42" spans="1:11" x14ac:dyDescent="0.15">
      <c r="A42" s="40" t="s">
        <v>55</v>
      </c>
      <c r="B42" s="41">
        <f>B41</f>
        <v>15000</v>
      </c>
      <c r="C42" s="42">
        <f>C41-B41</f>
        <v>-675</v>
      </c>
      <c r="D42" s="42">
        <f>D41-C41</f>
        <v>-50</v>
      </c>
      <c r="E42" s="42">
        <f>E41-D41</f>
        <v>-50</v>
      </c>
      <c r="F42" s="42">
        <f>F41-E41</f>
        <v>-50</v>
      </c>
      <c r="G42" s="42">
        <f>G41-F41</f>
        <v>0</v>
      </c>
      <c r="H42" s="43">
        <f>-H41</f>
        <v>-14175</v>
      </c>
      <c r="I42" s="39" t="s">
        <v>52</v>
      </c>
    </row>
    <row r="43" spans="1:11" x14ac:dyDescent="0.15">
      <c r="B43" s="19"/>
      <c r="C43" s="42"/>
      <c r="D43" s="42"/>
      <c r="E43" s="42"/>
      <c r="F43" s="42"/>
      <c r="G43" s="42"/>
      <c r="H43" s="44"/>
      <c r="I43" s="39" t="s">
        <v>56</v>
      </c>
    </row>
    <row r="44" spans="1:11" x14ac:dyDescent="0.15">
      <c r="B44" s="31"/>
      <c r="C44" s="31"/>
      <c r="D44" s="31"/>
      <c r="E44" s="31"/>
      <c r="F44" s="31"/>
      <c r="G44" s="45"/>
      <c r="H44" s="45"/>
    </row>
    <row r="45" spans="1:11" ht="14" thickBot="1" x14ac:dyDescent="0.2">
      <c r="A45" s="20" t="s">
        <v>57</v>
      </c>
      <c r="B45" s="46"/>
      <c r="C45" s="47"/>
      <c r="D45" s="47"/>
      <c r="E45" s="47"/>
      <c r="F45" s="47"/>
      <c r="G45" s="47"/>
      <c r="H45" s="47"/>
      <c r="I45" s="2" t="s">
        <v>58</v>
      </c>
    </row>
    <row r="46" spans="1:11" x14ac:dyDescent="0.15">
      <c r="A46" s="2" t="s">
        <v>59</v>
      </c>
      <c r="B46" s="19"/>
      <c r="C46" s="19">
        <f t="shared" ref="C46:H46" si="14">C22</f>
        <v>56000</v>
      </c>
      <c r="D46" s="19">
        <f t="shared" si="14"/>
        <v>61600</v>
      </c>
      <c r="E46" s="19">
        <f t="shared" si="14"/>
        <v>67200</v>
      </c>
      <c r="F46" s="19">
        <f t="shared" si="14"/>
        <v>72800</v>
      </c>
      <c r="G46" s="19">
        <f t="shared" si="14"/>
        <v>72800</v>
      </c>
      <c r="H46" s="19">
        <f t="shared" si="14"/>
        <v>72800</v>
      </c>
      <c r="I46" s="2" t="s">
        <v>60</v>
      </c>
    </row>
    <row r="47" spans="1:11" x14ac:dyDescent="0.15">
      <c r="A47" s="2" t="s">
        <v>22</v>
      </c>
      <c r="B47" s="19"/>
      <c r="C47" s="19">
        <f>C31</f>
        <v>35000</v>
      </c>
      <c r="D47" s="19">
        <v>35000</v>
      </c>
      <c r="E47" s="19">
        <v>35000</v>
      </c>
      <c r="F47" s="19">
        <v>35000</v>
      </c>
      <c r="G47" s="19">
        <v>35000</v>
      </c>
      <c r="H47" s="19">
        <v>35000</v>
      </c>
      <c r="I47" s="27" t="s">
        <v>61</v>
      </c>
    </row>
    <row r="48" spans="1:11" x14ac:dyDescent="0.15">
      <c r="A48" s="2" t="s">
        <v>55</v>
      </c>
      <c r="B48" s="41">
        <f>B42</f>
        <v>15000</v>
      </c>
      <c r="C48" s="48">
        <f t="shared" ref="C48:H48" si="15">C42</f>
        <v>-675</v>
      </c>
      <c r="D48" s="48">
        <f t="shared" si="15"/>
        <v>-50</v>
      </c>
      <c r="E48" s="48">
        <f t="shared" si="15"/>
        <v>-50</v>
      </c>
      <c r="F48" s="48">
        <f t="shared" si="15"/>
        <v>-50</v>
      </c>
      <c r="G48" s="48">
        <f t="shared" si="15"/>
        <v>0</v>
      </c>
      <c r="H48" s="49">
        <f t="shared" si="15"/>
        <v>-14175</v>
      </c>
      <c r="I48" s="27" t="s">
        <v>62</v>
      </c>
      <c r="K48" s="50" t="s">
        <v>63</v>
      </c>
    </row>
    <row r="49" spans="1:13" x14ac:dyDescent="0.15">
      <c r="A49" s="2" t="s">
        <v>64</v>
      </c>
      <c r="B49" s="19">
        <v>350000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27" t="s">
        <v>65</v>
      </c>
      <c r="K49" s="2" t="s">
        <v>66</v>
      </c>
    </row>
    <row r="50" spans="1:13" x14ac:dyDescent="0.15">
      <c r="A50" s="24" t="s">
        <v>67</v>
      </c>
      <c r="B50" s="25">
        <v>0</v>
      </c>
      <c r="C50" s="112">
        <v>0</v>
      </c>
      <c r="D50" s="112">
        <v>0</v>
      </c>
      <c r="E50" s="112">
        <v>0</v>
      </c>
      <c r="F50" s="112">
        <v>0</v>
      </c>
      <c r="G50" s="112">
        <v>0</v>
      </c>
      <c r="H50" s="25">
        <f>H32</f>
        <v>140000</v>
      </c>
      <c r="I50" s="27" t="s">
        <v>68</v>
      </c>
    </row>
    <row r="51" spans="1:13" ht="14" thickBot="1" x14ac:dyDescent="0.2">
      <c r="A51" s="20" t="s">
        <v>69</v>
      </c>
      <c r="B51" s="51">
        <f t="shared" ref="B51:H51" si="16">B46 - B48+B47-B49+B50</f>
        <v>-365000</v>
      </c>
      <c r="C51" s="51">
        <f t="shared" si="16"/>
        <v>91675</v>
      </c>
      <c r="D51" s="51">
        <f t="shared" si="16"/>
        <v>96650</v>
      </c>
      <c r="E51" s="51">
        <f t="shared" si="16"/>
        <v>102250</v>
      </c>
      <c r="F51" s="51">
        <f t="shared" si="16"/>
        <v>107850</v>
      </c>
      <c r="G51" s="51">
        <f t="shared" si="16"/>
        <v>107800</v>
      </c>
      <c r="H51" s="51">
        <f t="shared" si="16"/>
        <v>261975</v>
      </c>
    </row>
    <row r="52" spans="1:13" x14ac:dyDescent="0.15">
      <c r="B52" s="19"/>
      <c r="C52" s="19"/>
      <c r="D52" s="19"/>
      <c r="E52" s="19"/>
      <c r="F52" s="19"/>
      <c r="G52" s="19"/>
      <c r="H52" s="19"/>
    </row>
    <row r="53" spans="1:13" x14ac:dyDescent="0.15">
      <c r="B53" s="19"/>
      <c r="C53" s="19"/>
      <c r="D53" s="19"/>
      <c r="E53" s="19"/>
      <c r="F53" s="19"/>
      <c r="G53" s="19"/>
      <c r="H53" s="19"/>
      <c r="J53" s="111">
        <f>(D46-C46)/C46</f>
        <v>0.1</v>
      </c>
      <c r="K53" s="111">
        <f>(E46-D46)/D46</f>
        <v>9.0909090909090912E-2</v>
      </c>
      <c r="L53" s="111">
        <f>(F46-E46)/E46</f>
        <v>8.3333333333333329E-2</v>
      </c>
      <c r="M53" s="111">
        <f>(G46-F46)/F46</f>
        <v>0</v>
      </c>
    </row>
    <row r="54" spans="1:13" x14ac:dyDescent="0.15">
      <c r="A54" s="5" t="s">
        <v>70</v>
      </c>
      <c r="B54" s="52">
        <f>IRR(B51:H51)</f>
        <v>0.21942182380796504</v>
      </c>
      <c r="C54" s="19" t="s">
        <v>71</v>
      </c>
      <c r="D54" s="19"/>
      <c r="E54" s="53" t="s">
        <v>72</v>
      </c>
      <c r="F54" s="19"/>
      <c r="G54" s="19"/>
      <c r="H54" s="19"/>
      <c r="I54" s="9"/>
    </row>
    <row r="55" spans="1:13" x14ac:dyDescent="0.15">
      <c r="C55" s="19"/>
      <c r="D55" s="19"/>
    </row>
    <row r="56" spans="1:13" ht="14" thickBot="1" x14ac:dyDescent="0.2">
      <c r="A56" s="20" t="s">
        <v>73</v>
      </c>
      <c r="B56" s="46">
        <v>0</v>
      </c>
      <c r="C56" s="47">
        <v>1</v>
      </c>
      <c r="D56" s="47">
        <v>2</v>
      </c>
      <c r="E56" s="47">
        <v>3</v>
      </c>
      <c r="F56" s="47">
        <v>4</v>
      </c>
      <c r="G56" s="47">
        <v>5</v>
      </c>
      <c r="H56" s="47">
        <v>6</v>
      </c>
    </row>
    <row r="57" spans="1:13" x14ac:dyDescent="0.15">
      <c r="A57" s="24" t="s">
        <v>74</v>
      </c>
      <c r="B57" s="25">
        <f>B51 / ((1 + 0.0634)^B56)</f>
        <v>-365000</v>
      </c>
      <c r="C57" s="25">
        <f t="shared" ref="C57:H57" si="17">C51 / ((1 + 0.0634)^C56)</f>
        <v>86209.328568741781</v>
      </c>
      <c r="D57" s="25">
        <f t="shared" si="17"/>
        <v>85468.984989966062</v>
      </c>
      <c r="E57" s="25">
        <f t="shared" si="17"/>
        <v>85030.229008283321</v>
      </c>
      <c r="F57" s="25">
        <f t="shared" si="17"/>
        <v>84339.986182102235</v>
      </c>
      <c r="G57" s="25">
        <f t="shared" si="17"/>
        <v>79274.859493905766</v>
      </c>
      <c r="H57" s="25">
        <f t="shared" si="17"/>
        <v>181167.34222741952</v>
      </c>
    </row>
    <row r="58" spans="1:13" x14ac:dyDescent="0.15">
      <c r="A58" s="54" t="s">
        <v>75</v>
      </c>
      <c r="B58" s="55">
        <f>SUM(B57:H57)</f>
        <v>236490.7304704187</v>
      </c>
      <c r="C58" s="19"/>
      <c r="D58" s="19"/>
      <c r="E58" s="19"/>
      <c r="F58" s="19"/>
      <c r="G58" s="19"/>
      <c r="H58" s="19"/>
    </row>
    <row r="59" spans="1:13" x14ac:dyDescent="0.15">
      <c r="B59" s="19"/>
      <c r="C59" s="19"/>
      <c r="D59" s="19"/>
      <c r="E59" s="19"/>
      <c r="F59" s="19"/>
      <c r="G59" s="19"/>
      <c r="H59" s="19"/>
    </row>
    <row r="60" spans="1:13" x14ac:dyDescent="0.15">
      <c r="A60" s="5" t="s">
        <v>76</v>
      </c>
      <c r="B60" s="56">
        <f>B57</f>
        <v>-365000</v>
      </c>
      <c r="C60" s="56">
        <f t="shared" ref="C60:H60" si="18">B60 + C57</f>
        <v>-278790.6714312582</v>
      </c>
      <c r="D60" s="56">
        <f t="shared" si="18"/>
        <v>-193321.68644129214</v>
      </c>
      <c r="E60" s="56">
        <f t="shared" si="18"/>
        <v>-108291.45743300882</v>
      </c>
      <c r="F60" s="56">
        <f t="shared" si="18"/>
        <v>-23951.471250906587</v>
      </c>
      <c r="G60" s="56">
        <f t="shared" si="18"/>
        <v>55323.388242999179</v>
      </c>
      <c r="H60" s="56">
        <f t="shared" si="18"/>
        <v>236490.7304704187</v>
      </c>
      <c r="I60" s="2" t="s">
        <v>77</v>
      </c>
    </row>
    <row r="61" spans="1:13" x14ac:dyDescent="0.15">
      <c r="C61" s="19"/>
      <c r="D61" s="19"/>
      <c r="E61" s="19"/>
      <c r="F61" s="19"/>
      <c r="G61" s="19"/>
      <c r="H61" s="19"/>
    </row>
    <row r="62" spans="1:13" x14ac:dyDescent="0.15">
      <c r="A62" s="57" t="s">
        <v>78</v>
      </c>
      <c r="B62" s="25"/>
      <c r="C62" s="19"/>
      <c r="D62" s="19"/>
      <c r="E62" s="19"/>
      <c r="F62" s="19"/>
      <c r="G62" s="19"/>
      <c r="H62" s="19"/>
    </row>
    <row r="63" spans="1:13" x14ac:dyDescent="0.15">
      <c r="A63" s="2" t="s">
        <v>79</v>
      </c>
      <c r="B63" s="19">
        <f>AVERAGE(C22:H22)</f>
        <v>67200</v>
      </c>
      <c r="C63" s="19"/>
      <c r="D63" s="19"/>
      <c r="E63" s="19"/>
      <c r="F63" s="19"/>
      <c r="G63" s="19"/>
      <c r="H63" s="19"/>
    </row>
    <row r="64" spans="1:13" ht="16" x14ac:dyDescent="0.2">
      <c r="A64" s="24" t="s">
        <v>80</v>
      </c>
      <c r="B64" s="25">
        <f>AVERAGE(B32:H32)</f>
        <v>245000</v>
      </c>
      <c r="C64" s="19"/>
      <c r="D64" s="19"/>
      <c r="E64" s="15"/>
      <c r="F64" s="19"/>
      <c r="G64" s="19"/>
      <c r="H64" s="19"/>
    </row>
    <row r="65" spans="1:5" x14ac:dyDescent="0.15">
      <c r="A65" s="34" t="s">
        <v>81</v>
      </c>
      <c r="B65" s="58">
        <f>B63 / B64</f>
        <v>0.2742857142857143</v>
      </c>
      <c r="E65" s="59"/>
    </row>
  </sheetData>
  <mergeCells count="1">
    <mergeCell ref="G4:H4"/>
  </mergeCells>
  <pageMargins left="0.75" right="0.75" top="1" bottom="1" header="0.3" footer="0.3"/>
  <pageSetup orientation="portrait" horizontalDpi="0" verticalDpi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DEB89-1869-574A-8148-D479AB1CCAB6}">
  <dimension ref="A1:R10033"/>
  <sheetViews>
    <sheetView tabSelected="1" zoomScale="110" zoomScaleNormal="110" workbookViewId="0">
      <selection activeCell="I17" sqref="I17"/>
    </sheetView>
  </sheetViews>
  <sheetFormatPr baseColWidth="10" defaultRowHeight="25" x14ac:dyDescent="0.25"/>
  <cols>
    <col min="1" max="1" width="48.33203125" style="61" customWidth="1"/>
    <col min="2" max="2" width="18.1640625" style="61" customWidth="1"/>
    <col min="3" max="3" width="16.6640625" style="61" customWidth="1"/>
    <col min="4" max="6" width="16.33203125" style="61" bestFit="1" customWidth="1"/>
    <col min="7" max="7" width="23.1640625" style="61" bestFit="1" customWidth="1"/>
    <col min="8" max="8" width="16.33203125" style="61" bestFit="1" customWidth="1"/>
    <col min="9" max="9" width="16.83203125" style="62" bestFit="1" customWidth="1"/>
    <col min="10" max="10" width="14.83203125" style="62" customWidth="1"/>
    <col min="11" max="16384" width="10.83203125" style="62"/>
  </cols>
  <sheetData>
    <row r="1" spans="1:8" ht="26" thickBot="1" x14ac:dyDescent="0.3">
      <c r="A1" s="60" t="s">
        <v>57</v>
      </c>
      <c r="B1" s="61">
        <v>0</v>
      </c>
      <c r="C1" s="61">
        <v>1</v>
      </c>
      <c r="D1" s="61">
        <v>2</v>
      </c>
      <c r="E1" s="61">
        <v>3</v>
      </c>
      <c r="F1" s="61">
        <v>4</v>
      </c>
      <c r="G1" s="61">
        <v>5</v>
      </c>
      <c r="H1" s="61">
        <v>6</v>
      </c>
    </row>
    <row r="2" spans="1:8" x14ac:dyDescent="0.25">
      <c r="A2" s="63" t="s">
        <v>59</v>
      </c>
      <c r="B2" s="64"/>
      <c r="C2" s="64">
        <v>56000</v>
      </c>
      <c r="D2" s="64">
        <v>61600</v>
      </c>
      <c r="E2" s="64">
        <v>67200</v>
      </c>
      <c r="F2" s="64">
        <v>72800</v>
      </c>
      <c r="G2" s="64">
        <v>72800</v>
      </c>
      <c r="H2" s="65">
        <v>72800</v>
      </c>
    </row>
    <row r="3" spans="1:8" x14ac:dyDescent="0.25">
      <c r="A3" s="66" t="s">
        <v>22</v>
      </c>
      <c r="C3" s="61">
        <v>35000</v>
      </c>
      <c r="D3" s="61">
        <v>35000</v>
      </c>
      <c r="E3" s="61">
        <v>35000</v>
      </c>
      <c r="F3" s="61">
        <v>35000</v>
      </c>
      <c r="G3" s="61">
        <v>35000</v>
      </c>
      <c r="H3" s="67">
        <v>35000</v>
      </c>
    </row>
    <row r="4" spans="1:8" x14ac:dyDescent="0.25">
      <c r="A4" s="66" t="s">
        <v>55</v>
      </c>
      <c r="B4" s="61">
        <v>15000</v>
      </c>
      <c r="C4" s="61">
        <v>-675</v>
      </c>
      <c r="D4" s="61">
        <v>-50</v>
      </c>
      <c r="E4" s="61">
        <v>-50</v>
      </c>
      <c r="F4" s="61">
        <v>-50</v>
      </c>
      <c r="G4" s="61">
        <v>0</v>
      </c>
      <c r="H4" s="67">
        <v>-14175</v>
      </c>
    </row>
    <row r="5" spans="1:8" x14ac:dyDescent="0.25">
      <c r="A5" s="66" t="s">
        <v>64</v>
      </c>
      <c r="B5" s="61">
        <v>350000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7">
        <v>0</v>
      </c>
    </row>
    <row r="6" spans="1:8" ht="26" thickBot="1" x14ac:dyDescent="0.3">
      <c r="A6" s="66" t="s">
        <v>67</v>
      </c>
      <c r="B6" s="61">
        <v>0</v>
      </c>
      <c r="C6" s="61">
        <v>0</v>
      </c>
      <c r="D6" s="61">
        <v>0</v>
      </c>
      <c r="E6" s="61">
        <v>0</v>
      </c>
      <c r="F6" s="61">
        <v>0</v>
      </c>
      <c r="G6" s="61">
        <v>0</v>
      </c>
      <c r="H6" s="67">
        <v>140000</v>
      </c>
    </row>
    <row r="7" spans="1:8" ht="26" thickBot="1" x14ac:dyDescent="0.3">
      <c r="A7" s="68" t="s">
        <v>69</v>
      </c>
      <c r="B7" s="69">
        <v>-365000</v>
      </c>
      <c r="C7" s="69">
        <v>91675</v>
      </c>
      <c r="D7" s="69">
        <v>96650</v>
      </c>
      <c r="E7" s="69">
        <v>102250</v>
      </c>
      <c r="F7" s="69">
        <v>107850</v>
      </c>
      <c r="G7" s="69">
        <v>107800</v>
      </c>
      <c r="H7" s="70">
        <v>261975</v>
      </c>
    </row>
    <row r="9" spans="1:8" x14ac:dyDescent="0.25">
      <c r="A9" s="60" t="s">
        <v>82</v>
      </c>
      <c r="B9" s="71">
        <v>6.3375000000000015E-2</v>
      </c>
    </row>
    <row r="10" spans="1:8" x14ac:dyDescent="0.25">
      <c r="A10" s="60" t="s">
        <v>70</v>
      </c>
      <c r="B10" s="72">
        <f>IRR(B7:H7)</f>
        <v>0.21942182380796504</v>
      </c>
    </row>
    <row r="12" spans="1:8" x14ac:dyDescent="0.25">
      <c r="A12" s="61" t="s">
        <v>73</v>
      </c>
    </row>
    <row r="13" spans="1:8" x14ac:dyDescent="0.25">
      <c r="A13" s="61" t="s">
        <v>74</v>
      </c>
      <c r="B13" s="73">
        <f t="shared" ref="B13:H13" si="0">B7/((1+0.0634)^B1)</f>
        <v>-365000</v>
      </c>
      <c r="C13" s="73">
        <f t="shared" si="0"/>
        <v>86209.328568741781</v>
      </c>
      <c r="D13" s="73">
        <f t="shared" si="0"/>
        <v>85468.984989966062</v>
      </c>
      <c r="E13" s="73">
        <f t="shared" si="0"/>
        <v>85030.229008283321</v>
      </c>
      <c r="F13" s="73">
        <f t="shared" si="0"/>
        <v>84339.986182102235</v>
      </c>
      <c r="G13" s="73">
        <f t="shared" si="0"/>
        <v>79274.859493905766</v>
      </c>
      <c r="H13" s="73">
        <f t="shared" si="0"/>
        <v>181167.34222741952</v>
      </c>
    </row>
    <row r="14" spans="1:8" x14ac:dyDescent="0.25">
      <c r="A14" s="60" t="s">
        <v>75</v>
      </c>
      <c r="B14" s="73">
        <f>NPV(0.0634, C7:H7) + B7</f>
        <v>236490.73047041858</v>
      </c>
    </row>
    <row r="15" spans="1:8" ht="26" thickBot="1" x14ac:dyDescent="0.3">
      <c r="F15" s="74" t="s">
        <v>83</v>
      </c>
      <c r="G15" s="74"/>
    </row>
    <row r="16" spans="1:8" x14ac:dyDescent="0.25">
      <c r="B16" s="63" t="s">
        <v>84</v>
      </c>
      <c r="C16" s="64" t="s">
        <v>85</v>
      </c>
      <c r="D16" s="75" t="s">
        <v>86</v>
      </c>
      <c r="F16" s="61" t="s">
        <v>75</v>
      </c>
      <c r="G16" s="76">
        <f ca="1">NPV(0.0634, D18:D23) + D17</f>
        <v>182056.35671487241</v>
      </c>
    </row>
    <row r="17" spans="2:15" x14ac:dyDescent="0.25">
      <c r="B17" s="77">
        <v>0</v>
      </c>
      <c r="C17" s="78">
        <f>B7</f>
        <v>-365000</v>
      </c>
      <c r="D17" s="79">
        <f>C17</f>
        <v>-365000</v>
      </c>
      <c r="F17" s="61" t="s">
        <v>70</v>
      </c>
      <c r="G17" s="80">
        <f ca="1">IRR(D17:D23)</f>
        <v>0.22232830689239358</v>
      </c>
      <c r="H17" s="62"/>
    </row>
    <row r="18" spans="2:15" x14ac:dyDescent="0.25">
      <c r="B18" s="77">
        <v>1</v>
      </c>
      <c r="C18" s="78">
        <f>C7</f>
        <v>91675</v>
      </c>
      <c r="D18" s="81">
        <f t="shared" ref="D18:D23" ca="1" si="1" xml:space="preserve"> _xlfn.NORM.INV(RAND(), $D$26,$D$27)</f>
        <v>138019.74432286312</v>
      </c>
      <c r="H18" s="82"/>
    </row>
    <row r="19" spans="2:15" x14ac:dyDescent="0.25">
      <c r="B19" s="77">
        <v>2</v>
      </c>
      <c r="C19" s="78">
        <f>D7</f>
        <v>96650</v>
      </c>
      <c r="D19" s="81">
        <f t="shared" ca="1" si="1"/>
        <v>110120.23665369378</v>
      </c>
      <c r="H19" s="82"/>
    </row>
    <row r="20" spans="2:15" ht="26" thickBot="1" x14ac:dyDescent="0.3">
      <c r="B20" s="77">
        <v>3</v>
      </c>
      <c r="C20" s="78">
        <f>E7</f>
        <v>102250</v>
      </c>
      <c r="D20" s="81">
        <f t="shared" ca="1" si="1"/>
        <v>145953.44194011204</v>
      </c>
      <c r="F20" s="74" t="s">
        <v>87</v>
      </c>
      <c r="G20" s="74"/>
      <c r="H20" s="83"/>
      <c r="L20" s="84"/>
      <c r="M20" s="84"/>
      <c r="N20" s="84"/>
      <c r="O20" s="84"/>
    </row>
    <row r="21" spans="2:15" x14ac:dyDescent="0.25">
      <c r="B21" s="77">
        <v>4</v>
      </c>
      <c r="C21" s="78">
        <f>F7</f>
        <v>107850</v>
      </c>
      <c r="D21" s="81">
        <f t="shared" ca="1" si="1"/>
        <v>89429.516893992113</v>
      </c>
      <c r="H21" s="62"/>
      <c r="L21"/>
      <c r="M21"/>
      <c r="N21"/>
      <c r="O21"/>
    </row>
    <row r="22" spans="2:15" x14ac:dyDescent="0.25">
      <c r="B22" s="77">
        <v>5</v>
      </c>
      <c r="C22" s="78">
        <f>G7</f>
        <v>107800</v>
      </c>
      <c r="D22" s="81">
        <f t="shared" ca="1" si="1"/>
        <v>55693.527473198003</v>
      </c>
      <c r="G22" s="85" t="s">
        <v>75</v>
      </c>
      <c r="H22" s="61" t="s">
        <v>70</v>
      </c>
      <c r="I22" s="86"/>
      <c r="L22"/>
      <c r="M22"/>
      <c r="N22"/>
      <c r="O22"/>
    </row>
    <row r="23" spans="2:15" ht="26" thickBot="1" x14ac:dyDescent="0.3">
      <c r="B23" s="87">
        <v>6</v>
      </c>
      <c r="C23" s="88">
        <f>H7</f>
        <v>261975</v>
      </c>
      <c r="D23" s="89">
        <f t="shared" ca="1" si="1"/>
        <v>126701.18766999395</v>
      </c>
      <c r="F23" s="90" t="s">
        <v>88</v>
      </c>
      <c r="G23" s="91">
        <f ca="1">AVERAGE(C33:C5033)</f>
        <v>259919.76192329402</v>
      </c>
      <c r="H23" s="92">
        <f ca="1">AVERAGE(D33:D5033)</f>
        <v>0.26719234984999624</v>
      </c>
      <c r="I23" s="93"/>
      <c r="L23"/>
      <c r="M23"/>
      <c r="N23"/>
      <c r="O23"/>
    </row>
    <row r="24" spans="2:15" x14ac:dyDescent="0.25">
      <c r="F24" s="61" t="s">
        <v>89</v>
      </c>
      <c r="G24" s="91">
        <f ca="1">MEDIAN(C33:C5033)</f>
        <v>259818.53462722874</v>
      </c>
      <c r="H24" s="94">
        <f ca="1">MEDIAN(D33:D5033)</f>
        <v>0.2684599308562905</v>
      </c>
      <c r="I24" s="95"/>
      <c r="L24"/>
      <c r="M24"/>
      <c r="N24"/>
      <c r="O24"/>
    </row>
    <row r="25" spans="2:15" x14ac:dyDescent="0.25">
      <c r="B25" s="60" t="s">
        <v>90</v>
      </c>
      <c r="F25" s="61" t="s">
        <v>91</v>
      </c>
      <c r="G25" s="91">
        <f ca="1">MAX(C33:C5033)</f>
        <v>686166.95602377388</v>
      </c>
      <c r="H25" s="94">
        <f ca="1">MAX(D33:D5033)</f>
        <v>0.67472811788528819</v>
      </c>
      <c r="I25" s="95"/>
      <c r="L25"/>
      <c r="M25"/>
      <c r="N25"/>
      <c r="O25"/>
    </row>
    <row r="26" spans="2:15" x14ac:dyDescent="0.25">
      <c r="B26" s="90" t="s">
        <v>92</v>
      </c>
      <c r="C26" s="96"/>
      <c r="D26" s="78">
        <f>AVERAGE(C18:C23)</f>
        <v>128033.33333333333</v>
      </c>
      <c r="F26" s="61" t="s">
        <v>93</v>
      </c>
      <c r="G26" s="91">
        <f ca="1">MIN(C33:C5033)</f>
        <v>-210393.25272458221</v>
      </c>
      <c r="H26" s="94">
        <f ca="1">MIN(D33:D5033)</f>
        <v>-0.29505346684466938</v>
      </c>
      <c r="I26" s="95"/>
      <c r="L26"/>
      <c r="M26"/>
      <c r="N26"/>
      <c r="O26"/>
    </row>
    <row r="27" spans="2:15" x14ac:dyDescent="0.25">
      <c r="B27" s="61" t="s">
        <v>94</v>
      </c>
      <c r="D27" s="97">
        <f>_xlfn.STDEV.S(C18:C23)</f>
        <v>65922.298326641088</v>
      </c>
      <c r="F27" s="61" t="s">
        <v>95</v>
      </c>
      <c r="G27" s="91">
        <f ca="1">_xlfn.STDEV.S(C33:C5033)</f>
        <v>130513.12702538575</v>
      </c>
      <c r="H27" s="98">
        <f ca="1">_xlfn.STDEV.S(D33:D5033)</f>
        <v>0.10267174892378866</v>
      </c>
      <c r="I27" s="95"/>
      <c r="L27"/>
      <c r="M27"/>
      <c r="N27"/>
      <c r="O27"/>
    </row>
    <row r="28" spans="2:15" x14ac:dyDescent="0.25">
      <c r="B28" s="99"/>
      <c r="C28" s="99"/>
      <c r="F28" s="61" t="s">
        <v>96</v>
      </c>
      <c r="G28" s="100">
        <f ca="1">SKEW(C33:C5033)</f>
        <v>-2.6103152765336823E-2</v>
      </c>
      <c r="H28" s="101">
        <f>SKEW(D34:D5034)</f>
        <v>-1.5812706729971128E-2</v>
      </c>
      <c r="I28" s="95"/>
      <c r="L28"/>
      <c r="M28"/>
      <c r="N28"/>
      <c r="O28"/>
    </row>
    <row r="29" spans="2:15" x14ac:dyDescent="0.25">
      <c r="F29" s="61" t="s">
        <v>97</v>
      </c>
      <c r="G29" s="61">
        <f ca="1">KURT(C33:C5033)</f>
        <v>-0.16614237136964149</v>
      </c>
      <c r="H29" s="101">
        <f>KURT(D35:D5035)</f>
        <v>0.25129075412920399</v>
      </c>
      <c r="I29" s="95"/>
      <c r="L29"/>
      <c r="M29"/>
      <c r="N29"/>
      <c r="O29"/>
    </row>
    <row r="30" spans="2:15" x14ac:dyDescent="0.25">
      <c r="L30"/>
      <c r="M30"/>
      <c r="N30"/>
      <c r="O30"/>
    </row>
    <row r="31" spans="2:15" x14ac:dyDescent="0.25">
      <c r="B31" s="114" t="s">
        <v>98</v>
      </c>
      <c r="C31" s="114"/>
      <c r="D31" s="114"/>
      <c r="F31" s="99" t="s">
        <v>99</v>
      </c>
      <c r="H31" s="102">
        <f ca="1">COUNTIF(C33:C5033, "&lt; 0") / 5000</f>
        <v>2.3E-2</v>
      </c>
      <c r="I31" s="98" t="s">
        <v>100</v>
      </c>
      <c r="L31"/>
      <c r="M31"/>
      <c r="N31"/>
      <c r="O31"/>
    </row>
    <row r="32" spans="2:15" x14ac:dyDescent="0.25">
      <c r="C32" s="61" t="s">
        <v>75</v>
      </c>
      <c r="D32" s="61" t="s">
        <v>70</v>
      </c>
      <c r="F32" s="99" t="s">
        <v>101</v>
      </c>
      <c r="G32" s="62"/>
      <c r="H32" s="97">
        <f ca="1">_xlfn.PERCENTILE.INC($C$33:$C$5033, 0.05)</f>
        <v>40685.472962882777</v>
      </c>
      <c r="I32" s="61" t="s">
        <v>102</v>
      </c>
      <c r="L32"/>
      <c r="M32"/>
      <c r="N32"/>
      <c r="O32"/>
    </row>
    <row r="33" spans="2:18" x14ac:dyDescent="0.25">
      <c r="B33" s="61" t="s">
        <v>103</v>
      </c>
      <c r="C33" s="73">
        <f ca="1">G16</f>
        <v>182056.35671487241</v>
      </c>
      <c r="D33" s="103">
        <f ca="1">G17</f>
        <v>0.22232830689239358</v>
      </c>
      <c r="F33" s="61" t="s">
        <v>104</v>
      </c>
      <c r="H33" s="97">
        <f ca="1">_xlfn.PERCENTILE.INC($C$33:$C$5033, 0.5)</f>
        <v>259818.53462722874</v>
      </c>
      <c r="I33" s="61" t="s">
        <v>105</v>
      </c>
      <c r="L33"/>
      <c r="M33"/>
      <c r="N33"/>
      <c r="O33"/>
    </row>
    <row r="34" spans="2:18" x14ac:dyDescent="0.25">
      <c r="B34" s="61">
        <v>1</v>
      </c>
      <c r="C34" s="61">
        <f t="dataTable" ref="C34:D5033" dt2D="0" dtr="0" r1="E33" ca="1"/>
        <v>236661.95211869222</v>
      </c>
      <c r="D34" s="102">
        <v>0.24900859425161914</v>
      </c>
      <c r="F34" s="61" t="s">
        <v>106</v>
      </c>
      <c r="H34" s="97">
        <f ca="1">_xlfn.PERCENTILE.INC($C$33:$C$5033, 0.95)</f>
        <v>476603.72454158764</v>
      </c>
      <c r="I34" s="61" t="s">
        <v>107</v>
      </c>
      <c r="L34"/>
      <c r="M34"/>
      <c r="N34"/>
      <c r="O34"/>
    </row>
    <row r="35" spans="2:18" x14ac:dyDescent="0.25">
      <c r="B35" s="61">
        <v>2</v>
      </c>
      <c r="C35" s="61">
        <v>194969.937887187</v>
      </c>
      <c r="D35" s="102">
        <v>0.26057083598295439</v>
      </c>
      <c r="F35" s="99" t="s">
        <v>108</v>
      </c>
      <c r="H35" s="97">
        <f ca="1">AVERAGEIF(C33:C5033, "&lt;="&amp;_xlfn.PERCENTILE.INC(C33:C5033, 0.05))</f>
        <v>-8029.7096158763115</v>
      </c>
      <c r="I35" s="61" t="s">
        <v>109</v>
      </c>
      <c r="L35"/>
      <c r="M35"/>
      <c r="N35"/>
      <c r="O35"/>
    </row>
    <row r="36" spans="2:18" x14ac:dyDescent="0.25">
      <c r="B36" s="61">
        <v>3</v>
      </c>
      <c r="C36" s="61">
        <v>553904.87704052287</v>
      </c>
      <c r="D36" s="102">
        <v>0.43987493762161711</v>
      </c>
      <c r="F36" s="99" t="s">
        <v>110</v>
      </c>
      <c r="I36" s="61" t="s">
        <v>119</v>
      </c>
      <c r="L36"/>
      <c r="M36"/>
      <c r="N36"/>
      <c r="O36"/>
    </row>
    <row r="37" spans="2:18" x14ac:dyDescent="0.25">
      <c r="B37" s="61">
        <v>4</v>
      </c>
      <c r="C37" s="61">
        <v>163471.84849800635</v>
      </c>
      <c r="D37" s="102">
        <v>0.1944416813406511</v>
      </c>
      <c r="L37"/>
      <c r="M37"/>
      <c r="N37"/>
      <c r="O37"/>
    </row>
    <row r="38" spans="2:18" x14ac:dyDescent="0.25">
      <c r="B38" s="61">
        <v>5</v>
      </c>
      <c r="C38" s="61">
        <v>409450.27613367129</v>
      </c>
      <c r="D38" s="102">
        <v>0.48825336201166669</v>
      </c>
      <c r="L38"/>
      <c r="M38"/>
      <c r="N38"/>
      <c r="O38"/>
    </row>
    <row r="39" spans="2:18" x14ac:dyDescent="0.25">
      <c r="B39" s="61">
        <v>6</v>
      </c>
      <c r="C39" s="61">
        <v>137889.11754547112</v>
      </c>
      <c r="D39" s="102">
        <v>0.16772002684991416</v>
      </c>
      <c r="F39" s="61" t="s">
        <v>111</v>
      </c>
      <c r="L39"/>
      <c r="M39"/>
      <c r="N39"/>
      <c r="O39"/>
    </row>
    <row r="40" spans="2:18" x14ac:dyDescent="0.25">
      <c r="B40" s="61">
        <v>7</v>
      </c>
      <c r="C40" s="61">
        <v>194968.41597874614</v>
      </c>
      <c r="D40" s="102">
        <v>0.32074484397993031</v>
      </c>
      <c r="F40" s="61" t="s">
        <v>112</v>
      </c>
      <c r="L40"/>
      <c r="M40"/>
      <c r="N40"/>
      <c r="O40"/>
    </row>
    <row r="41" spans="2:18" x14ac:dyDescent="0.25">
      <c r="B41" s="61">
        <v>8</v>
      </c>
      <c r="C41" s="61">
        <v>151223.10219032248</v>
      </c>
      <c r="D41" s="102">
        <v>0.18194123693989228</v>
      </c>
      <c r="F41" s="61" t="s">
        <v>113</v>
      </c>
      <c r="L41"/>
      <c r="M41"/>
      <c r="N41"/>
      <c r="O41"/>
    </row>
    <row r="42" spans="2:18" x14ac:dyDescent="0.25">
      <c r="B42" s="61">
        <v>9</v>
      </c>
      <c r="C42" s="61">
        <v>303444.29305421491</v>
      </c>
      <c r="D42" s="102">
        <v>0.36259991423896221</v>
      </c>
      <c r="F42" s="61" t="s">
        <v>114</v>
      </c>
      <c r="L42"/>
      <c r="M42"/>
      <c r="N42"/>
      <c r="O42"/>
    </row>
    <row r="43" spans="2:18" x14ac:dyDescent="0.25">
      <c r="B43" s="61">
        <v>10</v>
      </c>
      <c r="C43" s="61">
        <v>204202.69629191828</v>
      </c>
      <c r="D43" s="102">
        <v>0.19839711114976022</v>
      </c>
      <c r="F43" s="61" t="s">
        <v>115</v>
      </c>
      <c r="G43" s="62"/>
      <c r="L43"/>
      <c r="M43"/>
      <c r="N43"/>
      <c r="O43"/>
    </row>
    <row r="44" spans="2:18" ht="26" thickBot="1" x14ac:dyDescent="0.3">
      <c r="B44" s="61">
        <v>11</v>
      </c>
      <c r="C44" s="61">
        <v>21178.33034770377</v>
      </c>
      <c r="D44" s="102">
        <v>8.4057684088339801E-2</v>
      </c>
      <c r="G44" s="62"/>
      <c r="L44"/>
      <c r="M44"/>
      <c r="N44"/>
      <c r="O44"/>
    </row>
    <row r="45" spans="2:18" x14ac:dyDescent="0.25">
      <c r="B45" s="61">
        <v>12</v>
      </c>
      <c r="C45" s="61">
        <v>447120.07617276988</v>
      </c>
      <c r="D45" s="102">
        <v>0.35930576221931965</v>
      </c>
      <c r="F45" s="63" t="s">
        <v>116</v>
      </c>
      <c r="G45" s="64"/>
      <c r="H45" s="64"/>
      <c r="I45" s="105"/>
      <c r="J45" s="105"/>
      <c r="K45" s="105"/>
      <c r="L45" s="106"/>
      <c r="M45" s="106"/>
      <c r="N45" s="106"/>
      <c r="O45" s="106"/>
      <c r="P45" s="105"/>
      <c r="Q45" s="105"/>
      <c r="R45" s="107"/>
    </row>
    <row r="46" spans="2:18" x14ac:dyDescent="0.25">
      <c r="B46" s="61">
        <v>13</v>
      </c>
      <c r="C46" s="61">
        <v>198149.31116913795</v>
      </c>
      <c r="D46" s="102">
        <v>0.20539417881014854</v>
      </c>
      <c r="F46" s="66" t="s">
        <v>117</v>
      </c>
      <c r="L46"/>
      <c r="M46"/>
      <c r="N46"/>
      <c r="O46"/>
      <c r="R46" s="108"/>
    </row>
    <row r="47" spans="2:18" ht="26" thickBot="1" x14ac:dyDescent="0.3">
      <c r="B47" s="61">
        <v>14</v>
      </c>
      <c r="C47" s="61">
        <v>238226.94779133797</v>
      </c>
      <c r="D47" s="102">
        <v>0.27325317196530685</v>
      </c>
      <c r="F47" s="109" t="s">
        <v>118</v>
      </c>
      <c r="G47" s="74"/>
      <c r="H47" s="74"/>
      <c r="I47" s="83"/>
      <c r="J47" s="83"/>
      <c r="K47" s="83"/>
      <c r="L47" s="104"/>
      <c r="M47" s="104"/>
      <c r="N47" s="104"/>
      <c r="O47" s="104"/>
      <c r="P47" s="83"/>
      <c r="Q47" s="83"/>
      <c r="R47" s="110"/>
    </row>
    <row r="48" spans="2:18" x14ac:dyDescent="0.25">
      <c r="B48" s="61">
        <v>15</v>
      </c>
      <c r="C48" s="61">
        <v>320281.77426101547</v>
      </c>
      <c r="D48" s="102">
        <v>0.30738620727616572</v>
      </c>
      <c r="L48"/>
      <c r="M48"/>
      <c r="N48"/>
      <c r="O48"/>
    </row>
    <row r="49" spans="2:15" x14ac:dyDescent="0.25">
      <c r="B49" s="61">
        <v>16</v>
      </c>
      <c r="C49" s="61">
        <v>285325.16475689679</v>
      </c>
      <c r="D49" s="102">
        <v>0.32077375692475973</v>
      </c>
      <c r="L49"/>
      <c r="M49"/>
      <c r="N49"/>
      <c r="O49"/>
    </row>
    <row r="50" spans="2:15" x14ac:dyDescent="0.25">
      <c r="B50" s="61">
        <v>17</v>
      </c>
      <c r="C50" s="61">
        <v>371839.46741135407</v>
      </c>
      <c r="D50" s="102">
        <v>0.35589105827848</v>
      </c>
      <c r="L50"/>
      <c r="M50"/>
      <c r="N50"/>
      <c r="O50"/>
    </row>
    <row r="51" spans="2:15" x14ac:dyDescent="0.25">
      <c r="B51" s="61">
        <v>18</v>
      </c>
      <c r="C51" s="61">
        <v>390856.71540960122</v>
      </c>
      <c r="D51" s="102">
        <v>0.33027489499864116</v>
      </c>
      <c r="L51"/>
      <c r="M51"/>
      <c r="N51"/>
      <c r="O51"/>
    </row>
    <row r="52" spans="2:15" x14ac:dyDescent="0.25">
      <c r="B52" s="61">
        <v>19</v>
      </c>
      <c r="C52" s="61">
        <v>338465.21302331833</v>
      </c>
      <c r="D52" s="102">
        <v>0.27277826859457921</v>
      </c>
      <c r="L52"/>
      <c r="M52"/>
      <c r="N52"/>
      <c r="O52"/>
    </row>
    <row r="53" spans="2:15" x14ac:dyDescent="0.25">
      <c r="B53" s="61">
        <v>20</v>
      </c>
      <c r="C53" s="61">
        <v>335042.95085133601</v>
      </c>
      <c r="D53" s="102">
        <v>0.29029324369308052</v>
      </c>
      <c r="L53"/>
      <c r="M53"/>
      <c r="N53"/>
      <c r="O53"/>
    </row>
    <row r="54" spans="2:15" x14ac:dyDescent="0.25">
      <c r="B54" s="61">
        <v>21</v>
      </c>
      <c r="C54" s="61">
        <v>357807.48186777451</v>
      </c>
      <c r="D54" s="102">
        <v>0.40435884232776553</v>
      </c>
      <c r="L54"/>
      <c r="M54"/>
      <c r="N54"/>
      <c r="O54"/>
    </row>
    <row r="55" spans="2:15" x14ac:dyDescent="0.25">
      <c r="B55" s="61">
        <v>22</v>
      </c>
      <c r="C55" s="61">
        <v>312359.76021083444</v>
      </c>
      <c r="D55" s="102">
        <v>0.32971617642177087</v>
      </c>
      <c r="L55"/>
      <c r="M55"/>
      <c r="N55"/>
      <c r="O55"/>
    </row>
    <row r="56" spans="2:15" x14ac:dyDescent="0.25">
      <c r="B56" s="61">
        <v>23</v>
      </c>
      <c r="C56" s="61">
        <v>311258.62395733083</v>
      </c>
      <c r="D56" s="102">
        <v>0.28150311173792675</v>
      </c>
      <c r="L56"/>
      <c r="M56"/>
      <c r="N56"/>
      <c r="O56"/>
    </row>
    <row r="57" spans="2:15" x14ac:dyDescent="0.25">
      <c r="B57" s="61">
        <v>24</v>
      </c>
      <c r="C57" s="61">
        <v>202411.15827094123</v>
      </c>
      <c r="D57" s="102">
        <v>0.2190324445560865</v>
      </c>
      <c r="L57"/>
      <c r="M57"/>
      <c r="N57"/>
      <c r="O57"/>
    </row>
    <row r="58" spans="2:15" x14ac:dyDescent="0.25">
      <c r="B58" s="61">
        <v>25</v>
      </c>
      <c r="C58" s="61">
        <v>306761.09337725432</v>
      </c>
      <c r="D58" s="102">
        <v>0.32380878903237087</v>
      </c>
      <c r="L58"/>
      <c r="M58"/>
      <c r="N58"/>
      <c r="O58"/>
    </row>
    <row r="59" spans="2:15" x14ac:dyDescent="0.25">
      <c r="B59" s="61">
        <v>26</v>
      </c>
      <c r="C59" s="61">
        <v>239747.44380155811</v>
      </c>
      <c r="D59" s="102">
        <v>0.21191050118582955</v>
      </c>
      <c r="L59"/>
      <c r="M59"/>
      <c r="N59"/>
      <c r="O59"/>
    </row>
    <row r="60" spans="2:15" x14ac:dyDescent="0.25">
      <c r="B60" s="61">
        <v>27</v>
      </c>
      <c r="C60" s="61">
        <v>175041.97098103154</v>
      </c>
      <c r="D60" s="102">
        <v>0.18742170327114627</v>
      </c>
      <c r="L60"/>
      <c r="M60"/>
      <c r="N60"/>
      <c r="O60"/>
    </row>
    <row r="61" spans="2:15" x14ac:dyDescent="0.25">
      <c r="B61" s="61">
        <v>28</v>
      </c>
      <c r="C61" s="61">
        <v>151729.46819802083</v>
      </c>
      <c r="D61" s="102">
        <v>0.19310862908976389</v>
      </c>
      <c r="L61"/>
      <c r="M61"/>
      <c r="N61"/>
      <c r="O61"/>
    </row>
    <row r="62" spans="2:15" x14ac:dyDescent="0.25">
      <c r="B62" s="61">
        <v>29</v>
      </c>
      <c r="C62" s="61">
        <v>177044.59985723218</v>
      </c>
      <c r="D62" s="102">
        <v>0.21449739900652309</v>
      </c>
      <c r="L62"/>
      <c r="M62"/>
      <c r="N62"/>
      <c r="O62"/>
    </row>
    <row r="63" spans="2:15" x14ac:dyDescent="0.25">
      <c r="B63" s="61">
        <v>30</v>
      </c>
      <c r="C63" s="61">
        <v>457412.97150080686</v>
      </c>
      <c r="D63" s="102">
        <v>0.42174038211187059</v>
      </c>
      <c r="L63"/>
      <c r="M63"/>
      <c r="N63"/>
      <c r="O63"/>
    </row>
    <row r="64" spans="2:15" x14ac:dyDescent="0.25">
      <c r="B64" s="61">
        <v>31</v>
      </c>
      <c r="C64" s="61">
        <v>259714.82820317463</v>
      </c>
      <c r="D64" s="102">
        <v>0.27525474338899714</v>
      </c>
      <c r="L64"/>
      <c r="M64"/>
      <c r="N64"/>
      <c r="O64"/>
    </row>
    <row r="65" spans="2:15" x14ac:dyDescent="0.25">
      <c r="B65" s="61">
        <v>32</v>
      </c>
      <c r="C65" s="61">
        <v>554813.22540209594</v>
      </c>
      <c r="D65" s="102">
        <v>0.47580566851078032</v>
      </c>
      <c r="L65"/>
      <c r="M65"/>
      <c r="N65"/>
      <c r="O65"/>
    </row>
    <row r="66" spans="2:15" x14ac:dyDescent="0.25">
      <c r="B66" s="61">
        <v>33</v>
      </c>
      <c r="C66" s="61">
        <v>459205.66711375571</v>
      </c>
      <c r="D66" s="102">
        <v>0.35027308353938147</v>
      </c>
      <c r="L66"/>
      <c r="M66"/>
      <c r="N66"/>
      <c r="O66"/>
    </row>
    <row r="67" spans="2:15" x14ac:dyDescent="0.25">
      <c r="B67" s="61">
        <v>34</v>
      </c>
      <c r="C67" s="61">
        <v>153620.01003739273</v>
      </c>
      <c r="D67" s="102">
        <v>0.15640147080046174</v>
      </c>
      <c r="L67"/>
      <c r="M67"/>
      <c r="N67"/>
      <c r="O67"/>
    </row>
    <row r="68" spans="2:15" x14ac:dyDescent="0.25">
      <c r="B68" s="61">
        <v>35</v>
      </c>
      <c r="C68" s="61">
        <v>252730.64560275292</v>
      </c>
      <c r="D68" s="102">
        <v>0.28462534218872215</v>
      </c>
      <c r="L68"/>
      <c r="M68"/>
      <c r="N68"/>
      <c r="O68"/>
    </row>
    <row r="69" spans="2:15" x14ac:dyDescent="0.25">
      <c r="B69" s="61">
        <v>36</v>
      </c>
      <c r="C69" s="61">
        <v>471625.69579472707</v>
      </c>
      <c r="D69" s="102">
        <v>0.44923025555001583</v>
      </c>
      <c r="L69"/>
      <c r="M69"/>
      <c r="N69"/>
      <c r="O69"/>
    </row>
    <row r="70" spans="2:15" x14ac:dyDescent="0.25">
      <c r="B70" s="61">
        <v>37</v>
      </c>
      <c r="C70" s="61">
        <v>383066.05224146915</v>
      </c>
      <c r="D70" s="102">
        <v>0.34477820454383168</v>
      </c>
      <c r="L70"/>
      <c r="M70"/>
      <c r="N70"/>
      <c r="O70"/>
    </row>
    <row r="71" spans="2:15" x14ac:dyDescent="0.25">
      <c r="B71" s="61">
        <v>38</v>
      </c>
      <c r="C71" s="61">
        <v>173190.5789443251</v>
      </c>
      <c r="D71" s="102">
        <v>0.17275795579786601</v>
      </c>
      <c r="L71"/>
      <c r="M71"/>
      <c r="N71"/>
      <c r="O71"/>
    </row>
    <row r="72" spans="2:15" x14ac:dyDescent="0.25">
      <c r="B72" s="61">
        <v>39</v>
      </c>
      <c r="C72" s="61">
        <v>237695.95122772979</v>
      </c>
      <c r="D72" s="102">
        <v>0.23396395415908211</v>
      </c>
      <c r="L72"/>
      <c r="M72"/>
      <c r="N72"/>
      <c r="O72"/>
    </row>
    <row r="73" spans="2:15" x14ac:dyDescent="0.25">
      <c r="B73" s="61">
        <v>40</v>
      </c>
      <c r="C73" s="61">
        <v>257469.00024594052</v>
      </c>
      <c r="D73" s="102">
        <v>0.24480609585356539</v>
      </c>
      <c r="L73"/>
      <c r="M73"/>
      <c r="N73"/>
      <c r="O73"/>
    </row>
    <row r="74" spans="2:15" x14ac:dyDescent="0.25">
      <c r="B74" s="61">
        <v>41</v>
      </c>
      <c r="C74" s="61">
        <v>355671.94438713044</v>
      </c>
      <c r="D74" s="102">
        <v>0.33090411684825938</v>
      </c>
      <c r="L74"/>
      <c r="M74"/>
      <c r="N74"/>
      <c r="O74"/>
    </row>
    <row r="75" spans="2:15" x14ac:dyDescent="0.25">
      <c r="B75" s="61">
        <v>42</v>
      </c>
      <c r="C75" s="61">
        <v>454469.35905778699</v>
      </c>
      <c r="D75" s="102">
        <v>0.42787319883375829</v>
      </c>
      <c r="L75"/>
      <c r="M75"/>
      <c r="N75"/>
      <c r="O75"/>
    </row>
    <row r="76" spans="2:15" x14ac:dyDescent="0.25">
      <c r="B76" s="61">
        <v>43</v>
      </c>
      <c r="C76" s="61">
        <v>229566.35637224943</v>
      </c>
      <c r="D76" s="102">
        <v>0.23607436592515452</v>
      </c>
      <c r="L76"/>
      <c r="M76"/>
      <c r="N76"/>
      <c r="O76"/>
    </row>
    <row r="77" spans="2:15" x14ac:dyDescent="0.25">
      <c r="B77" s="61">
        <v>44</v>
      </c>
      <c r="C77" s="61">
        <v>270512.87906620605</v>
      </c>
      <c r="D77" s="102">
        <v>0.24781533156525781</v>
      </c>
      <c r="L77"/>
      <c r="M77"/>
      <c r="N77"/>
      <c r="O77"/>
    </row>
    <row r="78" spans="2:15" x14ac:dyDescent="0.25">
      <c r="B78" s="61">
        <v>45</v>
      </c>
      <c r="C78" s="61">
        <v>426656.65984356881</v>
      </c>
      <c r="D78" s="102">
        <v>0.42275347099072946</v>
      </c>
      <c r="L78"/>
      <c r="M78"/>
      <c r="N78"/>
      <c r="O78"/>
    </row>
    <row r="79" spans="2:15" x14ac:dyDescent="0.25">
      <c r="B79" s="61">
        <v>46</v>
      </c>
      <c r="C79" s="61">
        <v>123946.54814853758</v>
      </c>
      <c r="D79" s="102">
        <v>0.191240125302782</v>
      </c>
      <c r="L79"/>
      <c r="M79"/>
      <c r="N79"/>
      <c r="O79"/>
    </row>
    <row r="80" spans="2:15" x14ac:dyDescent="0.25">
      <c r="B80" s="61">
        <v>47</v>
      </c>
      <c r="C80" s="61">
        <v>260108.97599677509</v>
      </c>
      <c r="D80" s="102">
        <v>0.26962159711023626</v>
      </c>
      <c r="L80"/>
      <c r="M80"/>
      <c r="N80"/>
      <c r="O80"/>
    </row>
    <row r="81" spans="2:15" x14ac:dyDescent="0.25">
      <c r="B81" s="61">
        <v>48</v>
      </c>
      <c r="C81" s="61">
        <v>229310.49677665229</v>
      </c>
      <c r="D81" s="102">
        <v>0.28556437516979161</v>
      </c>
      <c r="L81"/>
      <c r="M81"/>
      <c r="N81"/>
      <c r="O81"/>
    </row>
    <row r="82" spans="2:15" x14ac:dyDescent="0.25">
      <c r="B82" s="61">
        <v>49</v>
      </c>
      <c r="C82" s="61">
        <v>124196.4532766593</v>
      </c>
      <c r="D82" s="102">
        <v>0.17976980355226502</v>
      </c>
      <c r="L82"/>
      <c r="M82"/>
      <c r="N82"/>
      <c r="O82"/>
    </row>
    <row r="83" spans="2:15" x14ac:dyDescent="0.25">
      <c r="B83" s="61">
        <v>50</v>
      </c>
      <c r="C83" s="61">
        <v>82976.418348751147</v>
      </c>
      <c r="D83" s="102">
        <v>0.11138289621671627</v>
      </c>
      <c r="L83"/>
      <c r="M83"/>
      <c r="N83"/>
      <c r="O83"/>
    </row>
    <row r="84" spans="2:15" x14ac:dyDescent="0.25">
      <c r="B84" s="61">
        <v>51</v>
      </c>
      <c r="C84" s="61">
        <v>344383.15812022297</v>
      </c>
      <c r="D84" s="102">
        <v>0.35907437933934294</v>
      </c>
      <c r="L84"/>
      <c r="M84"/>
      <c r="N84"/>
      <c r="O84"/>
    </row>
    <row r="85" spans="2:15" x14ac:dyDescent="0.25">
      <c r="B85" s="61">
        <v>52</v>
      </c>
      <c r="C85" s="61">
        <v>102003.76295813109</v>
      </c>
      <c r="D85" s="102">
        <v>0.14510864875613994</v>
      </c>
      <c r="L85"/>
      <c r="M85"/>
      <c r="N85"/>
      <c r="O85"/>
    </row>
    <row r="86" spans="2:15" x14ac:dyDescent="0.25">
      <c r="B86" s="61">
        <v>53</v>
      </c>
      <c r="C86" s="61">
        <v>258042.03393739287</v>
      </c>
      <c r="D86" s="102">
        <v>0.27125973700603412</v>
      </c>
      <c r="L86"/>
      <c r="M86"/>
      <c r="N86"/>
      <c r="O86"/>
    </row>
    <row r="87" spans="2:15" x14ac:dyDescent="0.25">
      <c r="B87" s="61">
        <v>54</v>
      </c>
      <c r="C87" s="61">
        <v>320835.97524043382</v>
      </c>
      <c r="D87" s="102">
        <v>0.32578893810113052</v>
      </c>
      <c r="L87"/>
      <c r="M87"/>
      <c r="N87"/>
      <c r="O87"/>
    </row>
    <row r="88" spans="2:15" x14ac:dyDescent="0.25">
      <c r="B88" s="61">
        <v>55</v>
      </c>
      <c r="C88" s="61">
        <v>17245.021053709206</v>
      </c>
      <c r="D88" s="102">
        <v>7.617593391834343E-2</v>
      </c>
      <c r="L88"/>
      <c r="M88"/>
      <c r="N88"/>
      <c r="O88"/>
    </row>
    <row r="89" spans="2:15" x14ac:dyDescent="0.25">
      <c r="B89" s="61">
        <v>56</v>
      </c>
      <c r="C89" s="61">
        <v>296071.21277975501</v>
      </c>
      <c r="D89" s="102">
        <v>0.27599662328391417</v>
      </c>
      <c r="L89"/>
      <c r="M89"/>
      <c r="N89"/>
      <c r="O89"/>
    </row>
    <row r="90" spans="2:15" x14ac:dyDescent="0.25">
      <c r="B90" s="61">
        <v>57</v>
      </c>
      <c r="C90" s="61">
        <v>229080.22477362037</v>
      </c>
      <c r="D90" s="102">
        <v>0.23533526006048078</v>
      </c>
      <c r="L90"/>
      <c r="M90"/>
      <c r="N90"/>
      <c r="O90"/>
    </row>
    <row r="91" spans="2:15" x14ac:dyDescent="0.25">
      <c r="B91" s="61">
        <v>58</v>
      </c>
      <c r="C91" s="61">
        <v>251761.53502891655</v>
      </c>
      <c r="D91" s="102">
        <v>0.23399939892511767</v>
      </c>
      <c r="L91"/>
      <c r="M91"/>
      <c r="N91"/>
      <c r="O91"/>
    </row>
    <row r="92" spans="2:15" x14ac:dyDescent="0.25">
      <c r="B92" s="61">
        <v>59</v>
      </c>
      <c r="C92" s="61">
        <v>247951.43733151758</v>
      </c>
      <c r="D92" s="102">
        <v>0.26082319924858499</v>
      </c>
      <c r="L92"/>
      <c r="M92"/>
      <c r="N92"/>
      <c r="O92"/>
    </row>
    <row r="93" spans="2:15" x14ac:dyDescent="0.25">
      <c r="B93" s="61">
        <v>60</v>
      </c>
      <c r="C93" s="61">
        <v>349116.44055138808</v>
      </c>
      <c r="D93" s="102">
        <v>0.34347226205389036</v>
      </c>
      <c r="L93"/>
      <c r="M93"/>
      <c r="N93"/>
      <c r="O93"/>
    </row>
    <row r="94" spans="2:15" x14ac:dyDescent="0.25">
      <c r="B94" s="61">
        <v>61</v>
      </c>
      <c r="C94" s="61">
        <v>237309.84875209967</v>
      </c>
      <c r="D94" s="102">
        <v>0.28751852396196198</v>
      </c>
      <c r="L94"/>
      <c r="M94"/>
      <c r="N94"/>
      <c r="O94"/>
    </row>
    <row r="95" spans="2:15" x14ac:dyDescent="0.25">
      <c r="B95" s="61">
        <v>62</v>
      </c>
      <c r="C95" s="61">
        <v>225160.5866576964</v>
      </c>
      <c r="D95" s="102">
        <v>0.26913623834973555</v>
      </c>
      <c r="L95"/>
      <c r="M95"/>
      <c r="N95"/>
      <c r="O95"/>
    </row>
    <row r="96" spans="2:15" x14ac:dyDescent="0.25">
      <c r="B96" s="61">
        <v>63</v>
      </c>
      <c r="C96" s="61">
        <v>384608.18650312698</v>
      </c>
      <c r="D96" s="102">
        <v>0.3630366099445117</v>
      </c>
      <c r="L96"/>
      <c r="M96"/>
      <c r="N96"/>
      <c r="O96"/>
    </row>
    <row r="97" spans="2:15" x14ac:dyDescent="0.25">
      <c r="B97" s="61">
        <v>64</v>
      </c>
      <c r="C97" s="61">
        <v>225457.31681777269</v>
      </c>
      <c r="D97" s="102">
        <v>0.23211140352207171</v>
      </c>
      <c r="L97"/>
      <c r="M97"/>
      <c r="N97"/>
      <c r="O97"/>
    </row>
    <row r="98" spans="2:15" x14ac:dyDescent="0.25">
      <c r="B98" s="61">
        <v>65</v>
      </c>
      <c r="C98" s="61">
        <v>47688.188432509603</v>
      </c>
      <c r="D98" s="102">
        <v>0.13628442297137222</v>
      </c>
      <c r="L98"/>
      <c r="M98"/>
      <c r="N98"/>
      <c r="O98"/>
    </row>
    <row r="99" spans="2:15" x14ac:dyDescent="0.25">
      <c r="B99" s="61">
        <v>66</v>
      </c>
      <c r="C99" s="61">
        <v>233819.0373476817</v>
      </c>
      <c r="D99" s="102">
        <v>0.2422283814513797</v>
      </c>
      <c r="L99"/>
      <c r="M99"/>
      <c r="N99"/>
      <c r="O99"/>
    </row>
    <row r="100" spans="2:15" x14ac:dyDescent="0.25">
      <c r="B100" s="61">
        <v>67</v>
      </c>
      <c r="C100" s="61">
        <v>275537.51957694173</v>
      </c>
      <c r="D100" s="102">
        <v>0.35827470195500144</v>
      </c>
      <c r="L100"/>
      <c r="M100"/>
      <c r="N100"/>
      <c r="O100"/>
    </row>
    <row r="101" spans="2:15" x14ac:dyDescent="0.25">
      <c r="B101" s="61">
        <v>68</v>
      </c>
      <c r="C101" s="61">
        <v>252479.00683957175</v>
      </c>
      <c r="D101" s="102">
        <v>0.24223470795166335</v>
      </c>
      <c r="L101"/>
      <c r="M101"/>
      <c r="N101"/>
      <c r="O101"/>
    </row>
    <row r="102" spans="2:15" x14ac:dyDescent="0.25">
      <c r="B102" s="61">
        <v>69</v>
      </c>
      <c r="C102" s="61">
        <v>106303.03689525538</v>
      </c>
      <c r="D102" s="102">
        <v>0.16039343110178028</v>
      </c>
      <c r="L102"/>
      <c r="M102"/>
      <c r="N102"/>
      <c r="O102"/>
    </row>
    <row r="103" spans="2:15" x14ac:dyDescent="0.25">
      <c r="B103" s="61">
        <v>70</v>
      </c>
      <c r="C103" s="61">
        <v>190268.78202122485</v>
      </c>
      <c r="D103" s="102">
        <v>0.24316154163452919</v>
      </c>
      <c r="L103"/>
      <c r="M103"/>
      <c r="N103"/>
      <c r="O103"/>
    </row>
    <row r="104" spans="2:15" x14ac:dyDescent="0.25">
      <c r="B104" s="61">
        <v>71</v>
      </c>
      <c r="C104" s="61">
        <v>288223.21106190712</v>
      </c>
      <c r="D104" s="102">
        <v>0.2374626524870691</v>
      </c>
      <c r="L104"/>
      <c r="M104"/>
      <c r="N104"/>
      <c r="O104"/>
    </row>
    <row r="105" spans="2:15" x14ac:dyDescent="0.25">
      <c r="B105" s="61">
        <v>72</v>
      </c>
      <c r="C105" s="61">
        <v>256475.1943941568</v>
      </c>
      <c r="D105" s="102">
        <v>0.23972629211100771</v>
      </c>
      <c r="L105"/>
      <c r="M105"/>
      <c r="N105"/>
      <c r="O105"/>
    </row>
    <row r="106" spans="2:15" x14ac:dyDescent="0.25">
      <c r="B106" s="61">
        <v>73</v>
      </c>
      <c r="C106" s="61">
        <v>224678.40909300128</v>
      </c>
      <c r="D106" s="102">
        <v>0.22168278507712236</v>
      </c>
      <c r="L106"/>
      <c r="M106"/>
      <c r="N106"/>
      <c r="O106"/>
    </row>
    <row r="107" spans="2:15" x14ac:dyDescent="0.25">
      <c r="B107" s="61">
        <v>74</v>
      </c>
      <c r="C107" s="61">
        <v>125977.46748438181</v>
      </c>
      <c r="D107" s="102">
        <v>0.16693981127485191</v>
      </c>
      <c r="L107"/>
      <c r="M107"/>
      <c r="N107"/>
      <c r="O107"/>
    </row>
    <row r="108" spans="2:15" x14ac:dyDescent="0.25">
      <c r="B108" s="61">
        <v>75</v>
      </c>
      <c r="C108" s="61">
        <v>338665.29328051768</v>
      </c>
      <c r="D108" s="102">
        <v>0.29175707366949166</v>
      </c>
      <c r="L108"/>
      <c r="M108"/>
      <c r="N108"/>
      <c r="O108"/>
    </row>
    <row r="109" spans="2:15" x14ac:dyDescent="0.25">
      <c r="B109" s="61">
        <v>76</v>
      </c>
      <c r="C109" s="61">
        <v>485379.44201977167</v>
      </c>
      <c r="D109" s="102">
        <v>0.47596220583690751</v>
      </c>
      <c r="L109"/>
      <c r="M109"/>
      <c r="N109"/>
      <c r="O109"/>
    </row>
    <row r="110" spans="2:15" x14ac:dyDescent="0.25">
      <c r="B110" s="61">
        <v>77</v>
      </c>
      <c r="C110" s="61">
        <v>476752.20145193848</v>
      </c>
      <c r="D110" s="102">
        <v>0.45587607285666265</v>
      </c>
      <c r="L110"/>
      <c r="M110"/>
      <c r="N110"/>
      <c r="O110"/>
    </row>
    <row r="111" spans="2:15" x14ac:dyDescent="0.25">
      <c r="B111" s="61">
        <v>78</v>
      </c>
      <c r="C111" s="61">
        <v>379313.74616675091</v>
      </c>
      <c r="D111" s="102">
        <v>0.37991573089773367</v>
      </c>
      <c r="L111"/>
      <c r="M111"/>
      <c r="N111"/>
      <c r="O111"/>
    </row>
    <row r="112" spans="2:15" x14ac:dyDescent="0.25">
      <c r="B112" s="61">
        <v>79</v>
      </c>
      <c r="C112" s="61">
        <v>249729.14405629307</v>
      </c>
      <c r="D112" s="102">
        <v>0.24736831893636291</v>
      </c>
      <c r="L112"/>
      <c r="M112"/>
      <c r="N112"/>
      <c r="O112"/>
    </row>
    <row r="113" spans="2:15" x14ac:dyDescent="0.25">
      <c r="B113" s="61">
        <v>80</v>
      </c>
      <c r="C113" s="61">
        <v>393519.54794896557</v>
      </c>
      <c r="D113" s="102">
        <v>0.38779025090181074</v>
      </c>
      <c r="L113"/>
      <c r="M113"/>
      <c r="N113"/>
      <c r="O113"/>
    </row>
    <row r="114" spans="2:15" x14ac:dyDescent="0.25">
      <c r="B114" s="61">
        <v>81</v>
      </c>
      <c r="C114" s="61">
        <v>463169.28020520206</v>
      </c>
      <c r="D114" s="102">
        <v>0.38287248234449245</v>
      </c>
      <c r="L114"/>
      <c r="M114"/>
      <c r="N114"/>
      <c r="O114"/>
    </row>
    <row r="115" spans="2:15" x14ac:dyDescent="0.25">
      <c r="B115" s="61">
        <v>82</v>
      </c>
      <c r="C115" s="61">
        <v>26412.7286191475</v>
      </c>
      <c r="D115" s="102">
        <v>8.2104047399499613E-2</v>
      </c>
      <c r="L115"/>
      <c r="M115"/>
      <c r="N115"/>
      <c r="O115"/>
    </row>
    <row r="116" spans="2:15" x14ac:dyDescent="0.25">
      <c r="B116" s="61">
        <v>83</v>
      </c>
      <c r="C116" s="61">
        <v>53620.049736830173</v>
      </c>
      <c r="D116" s="102">
        <v>0.10968334677389691</v>
      </c>
      <c r="L116"/>
      <c r="M116"/>
      <c r="N116"/>
      <c r="O116"/>
    </row>
    <row r="117" spans="2:15" x14ac:dyDescent="0.25">
      <c r="B117" s="61">
        <v>84</v>
      </c>
      <c r="C117" s="61">
        <v>287790.42174020829</v>
      </c>
      <c r="D117" s="102">
        <v>0.27663721506311245</v>
      </c>
      <c r="L117"/>
      <c r="M117"/>
      <c r="N117"/>
      <c r="O117"/>
    </row>
    <row r="118" spans="2:15" x14ac:dyDescent="0.25">
      <c r="B118" s="61">
        <v>85</v>
      </c>
      <c r="C118" s="61">
        <v>14467.794457119307</v>
      </c>
      <c r="D118" s="102">
        <v>7.6219593898467108E-2</v>
      </c>
      <c r="L118"/>
      <c r="M118"/>
      <c r="N118"/>
      <c r="O118"/>
    </row>
    <row r="119" spans="2:15" x14ac:dyDescent="0.25">
      <c r="B119" s="61">
        <v>86</v>
      </c>
      <c r="C119" s="61">
        <v>342904.92898759968</v>
      </c>
      <c r="D119" s="102">
        <v>0.36888860903638299</v>
      </c>
      <c r="L119"/>
      <c r="M119"/>
      <c r="N119"/>
      <c r="O119"/>
    </row>
    <row r="120" spans="2:15" ht="26" thickBot="1" x14ac:dyDescent="0.3">
      <c r="B120" s="61">
        <v>87</v>
      </c>
      <c r="C120" s="61">
        <v>247801.1296566485</v>
      </c>
      <c r="D120" s="102">
        <v>0.24373864267154044</v>
      </c>
      <c r="L120" s="104"/>
      <c r="M120" s="104"/>
      <c r="N120" s="104"/>
      <c r="O120" s="104"/>
    </row>
    <row r="121" spans="2:15" x14ac:dyDescent="0.25">
      <c r="B121" s="61">
        <v>88</v>
      </c>
      <c r="C121" s="61">
        <v>254122.57247563137</v>
      </c>
      <c r="D121" s="102">
        <v>0.33116480589370689</v>
      </c>
    </row>
    <row r="122" spans="2:15" x14ac:dyDescent="0.25">
      <c r="B122" s="61">
        <v>89</v>
      </c>
      <c r="C122" s="61">
        <v>402847.62815676571</v>
      </c>
      <c r="D122" s="102">
        <v>0.40883819438289426</v>
      </c>
    </row>
    <row r="123" spans="2:15" x14ac:dyDescent="0.25">
      <c r="B123" s="61">
        <v>90</v>
      </c>
      <c r="C123" s="61">
        <v>218489.94812845858</v>
      </c>
      <c r="D123" s="102">
        <v>0.244594299314004</v>
      </c>
    </row>
    <row r="124" spans="2:15" x14ac:dyDescent="0.25">
      <c r="B124" s="61">
        <v>91</v>
      </c>
      <c r="C124" s="61">
        <v>85817.979208701581</v>
      </c>
      <c r="D124" s="102">
        <v>0.14494676456314015</v>
      </c>
    </row>
    <row r="125" spans="2:15" x14ac:dyDescent="0.25">
      <c r="B125" s="61">
        <v>92</v>
      </c>
      <c r="C125" s="61">
        <v>489774.41221685521</v>
      </c>
      <c r="D125" s="102">
        <v>0.42016401220716948</v>
      </c>
    </row>
    <row r="126" spans="2:15" x14ac:dyDescent="0.25">
      <c r="B126" s="61">
        <v>93</v>
      </c>
      <c r="C126" s="61">
        <v>99339.153573642834</v>
      </c>
      <c r="D126" s="102">
        <v>0.13176119339733194</v>
      </c>
    </row>
    <row r="127" spans="2:15" x14ac:dyDescent="0.25">
      <c r="B127" s="61">
        <v>94</v>
      </c>
      <c r="C127" s="61">
        <v>321539.20324317855</v>
      </c>
      <c r="D127" s="102">
        <v>0.33546897383402596</v>
      </c>
    </row>
    <row r="128" spans="2:15" x14ac:dyDescent="0.25">
      <c r="B128" s="61">
        <v>95</v>
      </c>
      <c r="C128" s="61">
        <v>197150.05299165787</v>
      </c>
      <c r="D128" s="102">
        <v>0.20740568144028582</v>
      </c>
    </row>
    <row r="129" spans="2:4" x14ac:dyDescent="0.25">
      <c r="B129" s="61">
        <v>96</v>
      </c>
      <c r="C129" s="61">
        <v>361572.82411137188</v>
      </c>
      <c r="D129" s="102">
        <v>0.31269569556657695</v>
      </c>
    </row>
    <row r="130" spans="2:4" x14ac:dyDescent="0.25">
      <c r="B130" s="61">
        <v>97</v>
      </c>
      <c r="C130" s="61">
        <v>8333.3690418452607</v>
      </c>
      <c r="D130" s="102">
        <v>6.9290852768877365E-2</v>
      </c>
    </row>
    <row r="131" spans="2:4" x14ac:dyDescent="0.25">
      <c r="B131" s="61">
        <v>98</v>
      </c>
      <c r="C131" s="61">
        <v>8081.7776754859951</v>
      </c>
      <c r="D131" s="102">
        <v>7.0600921126756866E-2</v>
      </c>
    </row>
    <row r="132" spans="2:4" x14ac:dyDescent="0.25">
      <c r="B132" s="61">
        <v>99</v>
      </c>
      <c r="C132" s="61">
        <v>280049.38623299822</v>
      </c>
      <c r="D132" s="102">
        <v>0.31593848668975455</v>
      </c>
    </row>
    <row r="133" spans="2:4" x14ac:dyDescent="0.25">
      <c r="B133" s="61">
        <v>100</v>
      </c>
      <c r="C133" s="61">
        <v>314778.00247452129</v>
      </c>
      <c r="D133" s="102">
        <v>0.32938675622840119</v>
      </c>
    </row>
    <row r="134" spans="2:4" x14ac:dyDescent="0.25">
      <c r="B134" s="61">
        <v>101</v>
      </c>
      <c r="C134" s="61">
        <v>165041.51586747705</v>
      </c>
      <c r="D134" s="102">
        <v>0.18316644821211203</v>
      </c>
    </row>
    <row r="135" spans="2:4" x14ac:dyDescent="0.25">
      <c r="B135" s="61">
        <v>102</v>
      </c>
      <c r="C135" s="61">
        <v>152659.79643200373</v>
      </c>
      <c r="D135" s="102">
        <v>0.16070447992156511</v>
      </c>
    </row>
    <row r="136" spans="2:4" x14ac:dyDescent="0.25">
      <c r="B136" s="61">
        <v>103</v>
      </c>
      <c r="C136" s="61">
        <v>255698.31028021453</v>
      </c>
      <c r="D136" s="102">
        <v>0.259360799697121</v>
      </c>
    </row>
    <row r="137" spans="2:4" x14ac:dyDescent="0.25">
      <c r="B137" s="61">
        <v>104</v>
      </c>
      <c r="C137" s="61">
        <v>463747.45534013852</v>
      </c>
      <c r="D137" s="102">
        <v>0.41236296961121122</v>
      </c>
    </row>
    <row r="138" spans="2:4" x14ac:dyDescent="0.25">
      <c r="B138" s="61">
        <v>105</v>
      </c>
      <c r="C138" s="61">
        <v>281347.16411742452</v>
      </c>
      <c r="D138" s="102">
        <v>0.27774525699054275</v>
      </c>
    </row>
    <row r="139" spans="2:4" x14ac:dyDescent="0.25">
      <c r="B139" s="61">
        <v>106</v>
      </c>
      <c r="C139" s="61">
        <v>399300.68678760633</v>
      </c>
      <c r="D139" s="102">
        <v>0.30555850687915775</v>
      </c>
    </row>
    <row r="140" spans="2:4" x14ac:dyDescent="0.25">
      <c r="B140" s="61">
        <v>107</v>
      </c>
      <c r="C140" s="61">
        <v>241762.51174549467</v>
      </c>
      <c r="D140" s="102">
        <v>0.24883276131361032</v>
      </c>
    </row>
    <row r="141" spans="2:4" x14ac:dyDescent="0.25">
      <c r="B141" s="61">
        <v>108</v>
      </c>
      <c r="C141" s="61">
        <v>408346.77982192009</v>
      </c>
      <c r="D141" s="102">
        <v>0.47426582822857544</v>
      </c>
    </row>
    <row r="142" spans="2:4" x14ac:dyDescent="0.25">
      <c r="B142" s="61">
        <v>109</v>
      </c>
      <c r="C142" s="61">
        <v>341566.55906061444</v>
      </c>
      <c r="D142" s="102">
        <v>0.3255779272410666</v>
      </c>
    </row>
    <row r="143" spans="2:4" x14ac:dyDescent="0.25">
      <c r="B143" s="61">
        <v>110</v>
      </c>
      <c r="C143" s="61">
        <v>207156.47632092773</v>
      </c>
      <c r="D143" s="102">
        <v>0.24622013065829851</v>
      </c>
    </row>
    <row r="144" spans="2:4" x14ac:dyDescent="0.25">
      <c r="B144" s="61">
        <v>111</v>
      </c>
      <c r="C144" s="61">
        <v>247037.09996437968</v>
      </c>
      <c r="D144" s="102">
        <v>0.24257945907867495</v>
      </c>
    </row>
    <row r="145" spans="2:4" x14ac:dyDescent="0.25">
      <c r="B145" s="61">
        <v>112</v>
      </c>
      <c r="C145" s="61">
        <v>492866.66795227793</v>
      </c>
      <c r="D145" s="102">
        <v>0.41856946365502568</v>
      </c>
    </row>
    <row r="146" spans="2:4" x14ac:dyDescent="0.25">
      <c r="B146" s="61">
        <v>113</v>
      </c>
      <c r="C146" s="61">
        <v>190005.32431568753</v>
      </c>
      <c r="D146" s="102">
        <v>0.27383377846111823</v>
      </c>
    </row>
    <row r="147" spans="2:4" x14ac:dyDescent="0.25">
      <c r="B147" s="61">
        <v>114</v>
      </c>
      <c r="C147" s="61">
        <v>247448.11014668923</v>
      </c>
      <c r="D147" s="102">
        <v>0.30506189325424948</v>
      </c>
    </row>
    <row r="148" spans="2:4" x14ac:dyDescent="0.25">
      <c r="B148" s="61">
        <v>115</v>
      </c>
      <c r="C148" s="61">
        <v>284926.47029472585</v>
      </c>
      <c r="D148" s="102">
        <v>0.29039875472515631</v>
      </c>
    </row>
    <row r="149" spans="2:4" x14ac:dyDescent="0.25">
      <c r="B149" s="61">
        <v>116</v>
      </c>
      <c r="C149" s="61">
        <v>128193.76865286898</v>
      </c>
      <c r="D149" s="102">
        <v>0.21947994945633886</v>
      </c>
    </row>
    <row r="150" spans="2:4" x14ac:dyDescent="0.25">
      <c r="B150" s="61">
        <v>117</v>
      </c>
      <c r="C150" s="61">
        <v>13030.839416853443</v>
      </c>
      <c r="D150" s="102">
        <v>7.2348591554391106E-2</v>
      </c>
    </row>
    <row r="151" spans="2:4" x14ac:dyDescent="0.25">
      <c r="B151" s="61">
        <v>118</v>
      </c>
      <c r="C151" s="61">
        <v>241390.71473128139</v>
      </c>
      <c r="D151" s="102">
        <v>0.30067425686864757</v>
      </c>
    </row>
    <row r="152" spans="2:4" x14ac:dyDescent="0.25">
      <c r="B152" s="61">
        <v>119</v>
      </c>
      <c r="C152" s="61">
        <v>283401.77684256877</v>
      </c>
      <c r="D152" s="102">
        <v>0.29403050204111647</v>
      </c>
    </row>
    <row r="153" spans="2:4" x14ac:dyDescent="0.25">
      <c r="B153" s="61">
        <v>120</v>
      </c>
      <c r="C153" s="61">
        <v>265696.14485095046</v>
      </c>
      <c r="D153" s="102">
        <v>0.24878176749987935</v>
      </c>
    </row>
    <row r="154" spans="2:4" x14ac:dyDescent="0.25">
      <c r="B154" s="61">
        <v>121</v>
      </c>
      <c r="C154" s="61">
        <v>268946.87924057117</v>
      </c>
      <c r="D154" s="102">
        <v>0.30618421641464955</v>
      </c>
    </row>
    <row r="155" spans="2:4" x14ac:dyDescent="0.25">
      <c r="B155" s="61">
        <v>122</v>
      </c>
      <c r="C155" s="61">
        <v>109808.13930033869</v>
      </c>
      <c r="D155" s="102">
        <v>0.13724574192542938</v>
      </c>
    </row>
    <row r="156" spans="2:4" x14ac:dyDescent="0.25">
      <c r="B156" s="61">
        <v>123</v>
      </c>
      <c r="C156" s="61">
        <v>341454.53550078615</v>
      </c>
      <c r="D156" s="102">
        <v>0.35736824491136376</v>
      </c>
    </row>
    <row r="157" spans="2:4" x14ac:dyDescent="0.25">
      <c r="B157" s="61">
        <v>124</v>
      </c>
      <c r="C157" s="61">
        <v>135516.58095912222</v>
      </c>
      <c r="D157" s="102">
        <v>0.16601882754995279</v>
      </c>
    </row>
    <row r="158" spans="2:4" x14ac:dyDescent="0.25">
      <c r="B158" s="61">
        <v>125</v>
      </c>
      <c r="C158" s="61">
        <v>341947.5827525343</v>
      </c>
      <c r="D158" s="102">
        <v>0.3539296172395483</v>
      </c>
    </row>
    <row r="159" spans="2:4" x14ac:dyDescent="0.25">
      <c r="B159" s="61">
        <v>126</v>
      </c>
      <c r="C159" s="61">
        <v>329329.49211006495</v>
      </c>
      <c r="D159" s="102">
        <v>0.31987336902411312</v>
      </c>
    </row>
    <row r="160" spans="2:4" x14ac:dyDescent="0.25">
      <c r="B160" s="61">
        <v>127</v>
      </c>
      <c r="C160" s="61">
        <v>302450.99154025433</v>
      </c>
      <c r="D160" s="102">
        <v>0.3525827385980953</v>
      </c>
    </row>
    <row r="161" spans="2:4" x14ac:dyDescent="0.25">
      <c r="B161" s="61">
        <v>128</v>
      </c>
      <c r="C161" s="61">
        <v>215631.72073479032</v>
      </c>
      <c r="D161" s="102">
        <v>0.18855090607308123</v>
      </c>
    </row>
    <row r="162" spans="2:4" x14ac:dyDescent="0.25">
      <c r="B162" s="61">
        <v>129</v>
      </c>
      <c r="C162" s="61">
        <v>289966.70231925626</v>
      </c>
      <c r="D162" s="102">
        <v>0.26390519905136123</v>
      </c>
    </row>
    <row r="163" spans="2:4" x14ac:dyDescent="0.25">
      <c r="B163" s="61">
        <v>130</v>
      </c>
      <c r="C163" s="61">
        <v>567424.36849447072</v>
      </c>
      <c r="D163" s="102">
        <v>0.52311999867853065</v>
      </c>
    </row>
    <row r="164" spans="2:4" x14ac:dyDescent="0.25">
      <c r="B164" s="61">
        <v>131</v>
      </c>
      <c r="C164" s="61">
        <v>393967.19493231841</v>
      </c>
      <c r="D164" s="102">
        <v>0.33813280085643971</v>
      </c>
    </row>
    <row r="165" spans="2:4" x14ac:dyDescent="0.25">
      <c r="B165" s="61">
        <v>132</v>
      </c>
      <c r="C165" s="61">
        <v>212648.18547707133</v>
      </c>
      <c r="D165" s="102">
        <v>0.23107823821503692</v>
      </c>
    </row>
    <row r="166" spans="2:4" x14ac:dyDescent="0.25">
      <c r="B166" s="61">
        <v>133</v>
      </c>
      <c r="C166" s="61">
        <v>405901.05250810541</v>
      </c>
      <c r="D166" s="102">
        <v>0.36237224335950513</v>
      </c>
    </row>
    <row r="167" spans="2:4" x14ac:dyDescent="0.25">
      <c r="B167" s="61">
        <v>134</v>
      </c>
      <c r="C167" s="61">
        <v>163353.68487304985</v>
      </c>
      <c r="D167" s="102">
        <v>0.18344278366890632</v>
      </c>
    </row>
    <row r="168" spans="2:4" x14ac:dyDescent="0.25">
      <c r="B168" s="61">
        <v>135</v>
      </c>
      <c r="C168" s="61">
        <v>248019.93539036275</v>
      </c>
      <c r="D168" s="102">
        <v>0.28112235701072241</v>
      </c>
    </row>
    <row r="169" spans="2:4" x14ac:dyDescent="0.25">
      <c r="B169" s="61">
        <v>136</v>
      </c>
      <c r="C169" s="61">
        <v>221132.33312377671</v>
      </c>
      <c r="D169" s="102">
        <v>0.22591028785140299</v>
      </c>
    </row>
    <row r="170" spans="2:4" x14ac:dyDescent="0.25">
      <c r="B170" s="61">
        <v>137</v>
      </c>
      <c r="C170" s="61">
        <v>366611.99235277856</v>
      </c>
      <c r="D170" s="102">
        <v>0.3542612043905442</v>
      </c>
    </row>
    <row r="171" spans="2:4" x14ac:dyDescent="0.25">
      <c r="B171" s="61">
        <v>138</v>
      </c>
      <c r="C171" s="61">
        <v>157711.32898039155</v>
      </c>
      <c r="D171" s="102">
        <v>0.19515242991463411</v>
      </c>
    </row>
    <row r="172" spans="2:4" x14ac:dyDescent="0.25">
      <c r="B172" s="61">
        <v>139</v>
      </c>
      <c r="C172" s="61">
        <v>239787.39064222423</v>
      </c>
      <c r="D172" s="102">
        <v>0.23986591681507008</v>
      </c>
    </row>
    <row r="173" spans="2:4" x14ac:dyDescent="0.25">
      <c r="B173" s="61">
        <v>140</v>
      </c>
      <c r="C173" s="61">
        <v>380407.38411692635</v>
      </c>
      <c r="D173" s="102">
        <v>0.41497659436511003</v>
      </c>
    </row>
    <row r="174" spans="2:4" x14ac:dyDescent="0.25">
      <c r="B174" s="61">
        <v>141</v>
      </c>
      <c r="C174" s="61">
        <v>124999.26437616639</v>
      </c>
      <c r="D174" s="102">
        <v>0.1542282802880639</v>
      </c>
    </row>
    <row r="175" spans="2:4" x14ac:dyDescent="0.25">
      <c r="B175" s="61">
        <v>142</v>
      </c>
      <c r="C175" s="61">
        <v>351007.28336231702</v>
      </c>
      <c r="D175" s="102">
        <v>0.39442281405940482</v>
      </c>
    </row>
    <row r="176" spans="2:4" x14ac:dyDescent="0.25">
      <c r="B176" s="61">
        <v>143</v>
      </c>
      <c r="C176" s="61">
        <v>303812.56874526676</v>
      </c>
      <c r="D176" s="102">
        <v>0.35684116866216575</v>
      </c>
    </row>
    <row r="177" spans="2:4" x14ac:dyDescent="0.25">
      <c r="B177" s="61">
        <v>144</v>
      </c>
      <c r="C177" s="61">
        <v>207186.81490523613</v>
      </c>
      <c r="D177" s="102">
        <v>0.22412366097701342</v>
      </c>
    </row>
    <row r="178" spans="2:4" x14ac:dyDescent="0.25">
      <c r="B178" s="61">
        <v>145</v>
      </c>
      <c r="C178" s="61">
        <v>402852.10030232626</v>
      </c>
      <c r="D178" s="102">
        <v>0.44802206369142494</v>
      </c>
    </row>
    <row r="179" spans="2:4" x14ac:dyDescent="0.25">
      <c r="B179" s="61">
        <v>146</v>
      </c>
      <c r="C179" s="61">
        <v>190211.12241591245</v>
      </c>
      <c r="D179" s="102">
        <v>0.22106645294013116</v>
      </c>
    </row>
    <row r="180" spans="2:4" x14ac:dyDescent="0.25">
      <c r="B180" s="61">
        <v>147</v>
      </c>
      <c r="C180" s="61">
        <v>128128.64865609771</v>
      </c>
      <c r="D180" s="102">
        <v>0.15391838204429309</v>
      </c>
    </row>
    <row r="181" spans="2:4" x14ac:dyDescent="0.25">
      <c r="B181" s="61">
        <v>148</v>
      </c>
      <c r="C181" s="61">
        <v>359531.49246461247</v>
      </c>
      <c r="D181" s="102">
        <v>0.36296877675907502</v>
      </c>
    </row>
    <row r="182" spans="2:4" x14ac:dyDescent="0.25">
      <c r="B182" s="61">
        <v>149</v>
      </c>
      <c r="C182" s="61">
        <v>203588.03754384234</v>
      </c>
      <c r="D182" s="102">
        <v>0.22429980244477488</v>
      </c>
    </row>
    <row r="183" spans="2:4" x14ac:dyDescent="0.25">
      <c r="B183" s="61">
        <v>150</v>
      </c>
      <c r="C183" s="61">
        <v>312531.34911335935</v>
      </c>
      <c r="D183" s="102">
        <v>0.29665995430636327</v>
      </c>
    </row>
    <row r="184" spans="2:4" x14ac:dyDescent="0.25">
      <c r="B184" s="61">
        <v>151</v>
      </c>
      <c r="C184" s="61">
        <v>366556.70037991041</v>
      </c>
      <c r="D184" s="102">
        <v>0.40666228892843104</v>
      </c>
    </row>
    <row r="185" spans="2:4" x14ac:dyDescent="0.25">
      <c r="B185" s="61">
        <v>152</v>
      </c>
      <c r="C185" s="61">
        <v>356905.6055833078</v>
      </c>
      <c r="D185" s="102">
        <v>0.38577028577982331</v>
      </c>
    </row>
    <row r="186" spans="2:4" x14ac:dyDescent="0.25">
      <c r="B186" s="61">
        <v>153</v>
      </c>
      <c r="C186" s="61">
        <v>276511.6209366814</v>
      </c>
      <c r="D186" s="102">
        <v>0.28498059472400428</v>
      </c>
    </row>
    <row r="187" spans="2:4" x14ac:dyDescent="0.25">
      <c r="B187" s="61">
        <v>154</v>
      </c>
      <c r="C187" s="61">
        <v>245284.31622115942</v>
      </c>
      <c r="D187" s="102">
        <v>0.27080482997536026</v>
      </c>
    </row>
    <row r="188" spans="2:4" x14ac:dyDescent="0.25">
      <c r="B188" s="61">
        <v>155</v>
      </c>
      <c r="C188" s="61">
        <v>195443.85767199961</v>
      </c>
      <c r="D188" s="102">
        <v>0.24322837853851409</v>
      </c>
    </row>
    <row r="189" spans="2:4" x14ac:dyDescent="0.25">
      <c r="B189" s="61">
        <v>156</v>
      </c>
      <c r="C189" s="61">
        <v>132749.1286559038</v>
      </c>
      <c r="D189" s="102">
        <v>0.17254486602354335</v>
      </c>
    </row>
    <row r="190" spans="2:4" x14ac:dyDescent="0.25">
      <c r="B190" s="61">
        <v>157</v>
      </c>
      <c r="C190" s="61">
        <v>326913.20848808403</v>
      </c>
      <c r="D190" s="102">
        <v>0.29440801710360898</v>
      </c>
    </row>
    <row r="191" spans="2:4" x14ac:dyDescent="0.25">
      <c r="B191" s="61">
        <v>158</v>
      </c>
      <c r="C191" s="61">
        <v>208799.55868590693</v>
      </c>
      <c r="D191" s="102">
        <v>0.2299960222533155</v>
      </c>
    </row>
    <row r="192" spans="2:4" x14ac:dyDescent="0.25">
      <c r="B192" s="61">
        <v>159</v>
      </c>
      <c r="C192" s="61">
        <v>372118.94754083909</v>
      </c>
      <c r="D192" s="102">
        <v>0.31835361040142574</v>
      </c>
    </row>
    <row r="193" spans="2:4" x14ac:dyDescent="0.25">
      <c r="B193" s="61">
        <v>160</v>
      </c>
      <c r="C193" s="61">
        <v>467361.27042711526</v>
      </c>
      <c r="D193" s="102">
        <v>0.43859453953752769</v>
      </c>
    </row>
    <row r="194" spans="2:4" x14ac:dyDescent="0.25">
      <c r="B194" s="61">
        <v>161</v>
      </c>
      <c r="C194" s="61">
        <v>291119.42917804525</v>
      </c>
      <c r="D194" s="102">
        <v>0.31723293745188852</v>
      </c>
    </row>
    <row r="195" spans="2:4" x14ac:dyDescent="0.25">
      <c r="B195" s="61">
        <v>162</v>
      </c>
      <c r="C195" s="61">
        <v>118340.47270150733</v>
      </c>
      <c r="D195" s="102">
        <v>0.14955387067873582</v>
      </c>
    </row>
    <row r="196" spans="2:4" x14ac:dyDescent="0.25">
      <c r="B196" s="61">
        <v>163</v>
      </c>
      <c r="C196" s="61">
        <v>344517.82737574424</v>
      </c>
      <c r="D196" s="102">
        <v>0.31270161595488855</v>
      </c>
    </row>
    <row r="197" spans="2:4" x14ac:dyDescent="0.25">
      <c r="B197" s="61">
        <v>164</v>
      </c>
      <c r="C197" s="61">
        <v>338757.57533903362</v>
      </c>
      <c r="D197" s="102">
        <v>0.28567187668858551</v>
      </c>
    </row>
    <row r="198" spans="2:4" x14ac:dyDescent="0.25">
      <c r="B198" s="61">
        <v>165</v>
      </c>
      <c r="C198" s="61">
        <v>322945.94857194892</v>
      </c>
      <c r="D198" s="102">
        <v>0.29436268742921312</v>
      </c>
    </row>
    <row r="199" spans="2:4" x14ac:dyDescent="0.25">
      <c r="B199" s="61">
        <v>166</v>
      </c>
      <c r="C199" s="61">
        <v>140516.31746164936</v>
      </c>
      <c r="D199" s="102">
        <v>0.15900862289442586</v>
      </c>
    </row>
    <row r="200" spans="2:4" x14ac:dyDescent="0.25">
      <c r="B200" s="61">
        <v>167</v>
      </c>
      <c r="C200" s="61">
        <v>12363.061627604067</v>
      </c>
      <c r="D200" s="102">
        <v>7.4692044575030536E-2</v>
      </c>
    </row>
    <row r="201" spans="2:4" x14ac:dyDescent="0.25">
      <c r="B201" s="61">
        <v>168</v>
      </c>
      <c r="C201" s="61">
        <v>215315.98628326133</v>
      </c>
      <c r="D201" s="102">
        <v>0.21552651764347885</v>
      </c>
    </row>
    <row r="202" spans="2:4" x14ac:dyDescent="0.25">
      <c r="B202" s="61">
        <v>169</v>
      </c>
      <c r="C202" s="61">
        <v>332268.76002931548</v>
      </c>
      <c r="D202" s="102">
        <v>0.43923987179365209</v>
      </c>
    </row>
    <row r="203" spans="2:4" x14ac:dyDescent="0.25">
      <c r="B203" s="61">
        <v>170</v>
      </c>
      <c r="C203" s="61">
        <v>320506.24453314941</v>
      </c>
      <c r="D203" s="102">
        <v>0.32044612508238535</v>
      </c>
    </row>
    <row r="204" spans="2:4" x14ac:dyDescent="0.25">
      <c r="B204" s="61">
        <v>171</v>
      </c>
      <c r="C204" s="61">
        <v>-21054.109748489573</v>
      </c>
      <c r="D204" s="102">
        <v>4.5095792034821169E-2</v>
      </c>
    </row>
    <row r="205" spans="2:4" x14ac:dyDescent="0.25">
      <c r="B205" s="61">
        <v>172</v>
      </c>
      <c r="C205" s="61">
        <v>122686.95256350026</v>
      </c>
      <c r="D205" s="102">
        <v>0.17209325504180129</v>
      </c>
    </row>
    <row r="206" spans="2:4" x14ac:dyDescent="0.25">
      <c r="B206" s="61">
        <v>173</v>
      </c>
      <c r="C206" s="61">
        <v>-22094.641048085527</v>
      </c>
      <c r="D206" s="102">
        <v>4.5682158689867247E-2</v>
      </c>
    </row>
    <row r="207" spans="2:4" x14ac:dyDescent="0.25">
      <c r="B207" s="61">
        <v>174</v>
      </c>
      <c r="C207" s="61">
        <v>398911.99377108295</v>
      </c>
      <c r="D207" s="102">
        <v>0.44668847767656028</v>
      </c>
    </row>
    <row r="208" spans="2:4" x14ac:dyDescent="0.25">
      <c r="B208" s="61">
        <v>175</v>
      </c>
      <c r="C208" s="61">
        <v>91900.191747278615</v>
      </c>
      <c r="D208" s="102">
        <v>0.12971971127470083</v>
      </c>
    </row>
    <row r="209" spans="2:4" x14ac:dyDescent="0.25">
      <c r="B209" s="61">
        <v>176</v>
      </c>
      <c r="C209" s="61">
        <v>304662.79522076854</v>
      </c>
      <c r="D209" s="102">
        <v>0.30381781094866933</v>
      </c>
    </row>
    <row r="210" spans="2:4" x14ac:dyDescent="0.25">
      <c r="B210" s="61">
        <v>177</v>
      </c>
      <c r="C210" s="61">
        <v>208663.17585016077</v>
      </c>
      <c r="D210" s="102">
        <v>0.21185258975099264</v>
      </c>
    </row>
    <row r="211" spans="2:4" x14ac:dyDescent="0.25">
      <c r="B211" s="61">
        <v>178</v>
      </c>
      <c r="C211" s="61">
        <v>395611.78600065049</v>
      </c>
      <c r="D211" s="102">
        <v>0.35017736838877322</v>
      </c>
    </row>
    <row r="212" spans="2:4" x14ac:dyDescent="0.25">
      <c r="B212" s="61">
        <v>179</v>
      </c>
      <c r="C212" s="61">
        <v>170171.68693497288</v>
      </c>
      <c r="D212" s="102">
        <v>0.19528537196512419</v>
      </c>
    </row>
    <row r="213" spans="2:4" x14ac:dyDescent="0.25">
      <c r="B213" s="61">
        <v>180</v>
      </c>
      <c r="C213" s="61">
        <v>336685.281740912</v>
      </c>
      <c r="D213" s="102">
        <v>0.37795308904752956</v>
      </c>
    </row>
    <row r="214" spans="2:4" x14ac:dyDescent="0.25">
      <c r="B214" s="61">
        <v>181</v>
      </c>
      <c r="C214" s="61">
        <v>411761.94085727585</v>
      </c>
      <c r="D214" s="102">
        <v>0.35793996825465557</v>
      </c>
    </row>
    <row r="215" spans="2:4" x14ac:dyDescent="0.25">
      <c r="B215" s="61">
        <v>182</v>
      </c>
      <c r="C215" s="61">
        <v>265483.48729014269</v>
      </c>
      <c r="D215" s="102">
        <v>0.27168827656519912</v>
      </c>
    </row>
    <row r="216" spans="2:4" x14ac:dyDescent="0.25">
      <c r="B216" s="61">
        <v>183</v>
      </c>
      <c r="C216" s="61">
        <v>374370.22130108404</v>
      </c>
      <c r="D216" s="102">
        <v>0.36542044149102737</v>
      </c>
    </row>
    <row r="217" spans="2:4" x14ac:dyDescent="0.25">
      <c r="B217" s="61">
        <v>184</v>
      </c>
      <c r="C217" s="61">
        <v>7138.5181219881051</v>
      </c>
      <c r="D217" s="102">
        <v>6.7859283778860968E-2</v>
      </c>
    </row>
    <row r="218" spans="2:4" x14ac:dyDescent="0.25">
      <c r="B218" s="61">
        <v>185</v>
      </c>
      <c r="C218" s="61">
        <v>24187.669187274761</v>
      </c>
      <c r="D218" s="102">
        <v>8.5818938793513766E-2</v>
      </c>
    </row>
    <row r="219" spans="2:4" x14ac:dyDescent="0.25">
      <c r="B219" s="61">
        <v>186</v>
      </c>
      <c r="C219" s="61">
        <v>380912.15048040811</v>
      </c>
      <c r="D219" s="102">
        <v>0.31837730696416688</v>
      </c>
    </row>
    <row r="220" spans="2:4" x14ac:dyDescent="0.25">
      <c r="B220" s="61">
        <v>187</v>
      </c>
      <c r="C220" s="61">
        <v>536998.55563333223</v>
      </c>
      <c r="D220" s="102">
        <v>0.48254595099056541</v>
      </c>
    </row>
    <row r="221" spans="2:4" x14ac:dyDescent="0.25">
      <c r="B221" s="61">
        <v>188</v>
      </c>
      <c r="C221" s="61">
        <v>420245.24915529322</v>
      </c>
      <c r="D221" s="102">
        <v>0.39045838233943475</v>
      </c>
    </row>
    <row r="222" spans="2:4" x14ac:dyDescent="0.25">
      <c r="B222" s="61">
        <v>189</v>
      </c>
      <c r="C222" s="61">
        <v>432144.39082470431</v>
      </c>
      <c r="D222" s="102">
        <v>0.43794704778561688</v>
      </c>
    </row>
    <row r="223" spans="2:4" x14ac:dyDescent="0.25">
      <c r="B223" s="61">
        <v>190</v>
      </c>
      <c r="C223" s="61">
        <v>223952.23276837834</v>
      </c>
      <c r="D223" s="102">
        <v>0.22271609971435202</v>
      </c>
    </row>
    <row r="224" spans="2:4" x14ac:dyDescent="0.25">
      <c r="B224" s="61">
        <v>191</v>
      </c>
      <c r="C224" s="61">
        <v>244969.51385156706</v>
      </c>
      <c r="D224" s="102">
        <v>0.24904426878558583</v>
      </c>
    </row>
    <row r="225" spans="2:4" x14ac:dyDescent="0.25">
      <c r="B225" s="61">
        <v>192</v>
      </c>
      <c r="C225" s="61">
        <v>317920.87712250277</v>
      </c>
      <c r="D225" s="102">
        <v>0.29048308704222503</v>
      </c>
    </row>
    <row r="226" spans="2:4" x14ac:dyDescent="0.25">
      <c r="B226" s="61">
        <v>193</v>
      </c>
      <c r="C226" s="61">
        <v>332214.06630080461</v>
      </c>
      <c r="D226" s="102">
        <v>0.32681503680867618</v>
      </c>
    </row>
    <row r="227" spans="2:4" x14ac:dyDescent="0.25">
      <c r="B227" s="61">
        <v>194</v>
      </c>
      <c r="C227" s="61">
        <v>-44538.482389524172</v>
      </c>
      <c r="D227" s="102">
        <v>2.9653888200011913E-2</v>
      </c>
    </row>
    <row r="228" spans="2:4" x14ac:dyDescent="0.25">
      <c r="B228" s="61">
        <v>195</v>
      </c>
      <c r="C228" s="61">
        <v>540552.9214122392</v>
      </c>
      <c r="D228" s="102">
        <v>0.41740553096485589</v>
      </c>
    </row>
    <row r="229" spans="2:4" x14ac:dyDescent="0.25">
      <c r="B229" s="61">
        <v>196</v>
      </c>
      <c r="C229" s="61">
        <v>51354.138763891708</v>
      </c>
      <c r="D229" s="102">
        <v>0.10971503535482041</v>
      </c>
    </row>
    <row r="230" spans="2:4" x14ac:dyDescent="0.25">
      <c r="B230" s="61">
        <v>197</v>
      </c>
      <c r="C230" s="61">
        <v>66983.377858853608</v>
      </c>
      <c r="D230" s="102">
        <v>0.12616905324888172</v>
      </c>
    </row>
    <row r="231" spans="2:4" x14ac:dyDescent="0.25">
      <c r="B231" s="61">
        <v>198</v>
      </c>
      <c r="C231" s="61">
        <v>80577.08762732154</v>
      </c>
      <c r="D231" s="102">
        <v>0.13778100279575467</v>
      </c>
    </row>
    <row r="232" spans="2:4" x14ac:dyDescent="0.25">
      <c r="B232" s="61">
        <v>199</v>
      </c>
      <c r="C232" s="61">
        <v>213706.3636427162</v>
      </c>
      <c r="D232" s="102">
        <v>0.24008033732597789</v>
      </c>
    </row>
    <row r="233" spans="2:4" x14ac:dyDescent="0.25">
      <c r="B233" s="61">
        <v>200</v>
      </c>
      <c r="C233" s="61">
        <v>491795.47511048836</v>
      </c>
      <c r="D233" s="102">
        <v>0.45322297352566854</v>
      </c>
    </row>
    <row r="234" spans="2:4" x14ac:dyDescent="0.25">
      <c r="B234" s="61">
        <v>201</v>
      </c>
      <c r="C234" s="61">
        <v>383829.69274337334</v>
      </c>
      <c r="D234" s="102">
        <v>0.31859994062241914</v>
      </c>
    </row>
    <row r="235" spans="2:4" x14ac:dyDescent="0.25">
      <c r="B235" s="61">
        <v>202</v>
      </c>
      <c r="C235" s="61">
        <v>86832.130450661003</v>
      </c>
      <c r="D235" s="102">
        <v>0.16157367401404121</v>
      </c>
    </row>
    <row r="236" spans="2:4" x14ac:dyDescent="0.25">
      <c r="B236" s="61">
        <v>203</v>
      </c>
      <c r="C236" s="61">
        <v>189446.42166509468</v>
      </c>
      <c r="D236" s="102">
        <v>0.23634529152429073</v>
      </c>
    </row>
    <row r="237" spans="2:4" x14ac:dyDescent="0.25">
      <c r="B237" s="61">
        <v>204</v>
      </c>
      <c r="C237" s="61">
        <v>208163.44309899269</v>
      </c>
      <c r="D237" s="102">
        <v>0.22550590185884478</v>
      </c>
    </row>
    <row r="238" spans="2:4" x14ac:dyDescent="0.25">
      <c r="B238" s="61">
        <v>205</v>
      </c>
      <c r="C238" s="61">
        <v>403086.33074704942</v>
      </c>
      <c r="D238" s="102">
        <v>0.41649029395996306</v>
      </c>
    </row>
    <row r="239" spans="2:4" x14ac:dyDescent="0.25">
      <c r="B239" s="61">
        <v>206</v>
      </c>
      <c r="C239" s="61">
        <v>509213.85833987256</v>
      </c>
      <c r="D239" s="102">
        <v>0.48638212835296879</v>
      </c>
    </row>
    <row r="240" spans="2:4" x14ac:dyDescent="0.25">
      <c r="B240" s="61">
        <v>207</v>
      </c>
      <c r="C240" s="61">
        <v>295765.53888194251</v>
      </c>
      <c r="D240" s="102">
        <v>0.30352076384382976</v>
      </c>
    </row>
    <row r="241" spans="2:4" x14ac:dyDescent="0.25">
      <c r="B241" s="61">
        <v>208</v>
      </c>
      <c r="C241" s="61">
        <v>427740.91093075101</v>
      </c>
      <c r="D241" s="102">
        <v>0.35500516596629095</v>
      </c>
    </row>
    <row r="242" spans="2:4" x14ac:dyDescent="0.25">
      <c r="B242" s="61">
        <v>209</v>
      </c>
      <c r="C242" s="61">
        <v>266847.11561179068</v>
      </c>
      <c r="D242" s="102">
        <v>0.2634688490844912</v>
      </c>
    </row>
    <row r="243" spans="2:4" x14ac:dyDescent="0.25">
      <c r="B243" s="61">
        <v>210</v>
      </c>
      <c r="C243" s="61">
        <v>240554.48187011876</v>
      </c>
      <c r="D243" s="102">
        <v>0.25948145094038311</v>
      </c>
    </row>
    <row r="244" spans="2:4" x14ac:dyDescent="0.25">
      <c r="B244" s="61">
        <v>211</v>
      </c>
      <c r="C244" s="61">
        <v>537116.84804097028</v>
      </c>
      <c r="D244" s="102">
        <v>0.48079696218972656</v>
      </c>
    </row>
    <row r="245" spans="2:4" x14ac:dyDescent="0.25">
      <c r="B245" s="61">
        <v>212</v>
      </c>
      <c r="C245" s="61">
        <v>286708.75978540385</v>
      </c>
      <c r="D245" s="102">
        <v>0.30186644080235348</v>
      </c>
    </row>
    <row r="246" spans="2:4" x14ac:dyDescent="0.25">
      <c r="B246" s="61">
        <v>213</v>
      </c>
      <c r="C246" s="61">
        <v>169161.15613224846</v>
      </c>
      <c r="D246" s="102">
        <v>0.19418898669620299</v>
      </c>
    </row>
    <row r="247" spans="2:4" x14ac:dyDescent="0.25">
      <c r="B247" s="61">
        <v>214</v>
      </c>
      <c r="C247" s="61">
        <v>91021.453345342481</v>
      </c>
      <c r="D247" s="102">
        <v>0.13266226130089609</v>
      </c>
    </row>
    <row r="248" spans="2:4" x14ac:dyDescent="0.25">
      <c r="B248" s="61">
        <v>215</v>
      </c>
      <c r="C248" s="61">
        <v>267242.60312789993</v>
      </c>
      <c r="D248" s="102">
        <v>0.25947317359954702</v>
      </c>
    </row>
    <row r="249" spans="2:4" x14ac:dyDescent="0.25">
      <c r="B249" s="61">
        <v>216</v>
      </c>
      <c r="C249" s="61">
        <v>120776.1847241653</v>
      </c>
      <c r="D249" s="102">
        <v>0.19435966715459663</v>
      </c>
    </row>
    <row r="250" spans="2:4" x14ac:dyDescent="0.25">
      <c r="B250" s="61">
        <v>217</v>
      </c>
      <c r="C250" s="61">
        <v>321810.67088231992</v>
      </c>
      <c r="D250" s="102">
        <v>0.38999768597651174</v>
      </c>
    </row>
    <row r="251" spans="2:4" x14ac:dyDescent="0.25">
      <c r="B251" s="61">
        <v>218</v>
      </c>
      <c r="C251" s="61">
        <v>451770.92513739725</v>
      </c>
      <c r="D251" s="102">
        <v>0.42563601993358136</v>
      </c>
    </row>
    <row r="252" spans="2:4" x14ac:dyDescent="0.25">
      <c r="B252" s="61">
        <v>219</v>
      </c>
      <c r="C252" s="61">
        <v>225520.56714902865</v>
      </c>
      <c r="D252" s="102">
        <v>0.27296612446959267</v>
      </c>
    </row>
    <row r="253" spans="2:4" x14ac:dyDescent="0.25">
      <c r="B253" s="61">
        <v>220</v>
      </c>
      <c r="C253" s="61">
        <v>321705.52834952169</v>
      </c>
      <c r="D253" s="102">
        <v>0.27980126399034511</v>
      </c>
    </row>
    <row r="254" spans="2:4" x14ac:dyDescent="0.25">
      <c r="B254" s="61">
        <v>221</v>
      </c>
      <c r="C254" s="61">
        <v>239913.93163980881</v>
      </c>
      <c r="D254" s="102">
        <v>0.25603126562060852</v>
      </c>
    </row>
    <row r="255" spans="2:4" x14ac:dyDescent="0.25">
      <c r="B255" s="61">
        <v>222</v>
      </c>
      <c r="C255" s="61">
        <v>231043.22119765566</v>
      </c>
      <c r="D255" s="102">
        <v>0.24802919832344328</v>
      </c>
    </row>
    <row r="256" spans="2:4" x14ac:dyDescent="0.25">
      <c r="B256" s="61">
        <v>223</v>
      </c>
      <c r="C256" s="61">
        <v>237625.6854590039</v>
      </c>
      <c r="D256" s="102">
        <v>0.24771302164980891</v>
      </c>
    </row>
    <row r="257" spans="2:4" x14ac:dyDescent="0.25">
      <c r="B257" s="61">
        <v>224</v>
      </c>
      <c r="C257" s="61">
        <v>308582.74317564373</v>
      </c>
      <c r="D257" s="102">
        <v>0.34753354635053779</v>
      </c>
    </row>
    <row r="258" spans="2:4" x14ac:dyDescent="0.25">
      <c r="B258" s="61">
        <v>225</v>
      </c>
      <c r="C258" s="61">
        <v>188419.69093483163</v>
      </c>
      <c r="D258" s="102">
        <v>0.2048557214964184</v>
      </c>
    </row>
    <row r="259" spans="2:4" x14ac:dyDescent="0.25">
      <c r="B259" s="61">
        <v>226</v>
      </c>
      <c r="C259" s="61">
        <v>171315.77160269464</v>
      </c>
      <c r="D259" s="102">
        <v>0.17400184610516489</v>
      </c>
    </row>
    <row r="260" spans="2:4" x14ac:dyDescent="0.25">
      <c r="B260" s="61">
        <v>227</v>
      </c>
      <c r="C260" s="61">
        <v>342538.00986756652</v>
      </c>
      <c r="D260" s="102">
        <v>0.38338409933074757</v>
      </c>
    </row>
    <row r="261" spans="2:4" x14ac:dyDescent="0.25">
      <c r="B261" s="61">
        <v>228</v>
      </c>
      <c r="C261" s="61">
        <v>54644.356173601176</v>
      </c>
      <c r="D261" s="102">
        <v>0.10762364310305794</v>
      </c>
    </row>
    <row r="262" spans="2:4" x14ac:dyDescent="0.25">
      <c r="B262" s="61">
        <v>229</v>
      </c>
      <c r="C262" s="61">
        <v>414121.40548083978</v>
      </c>
      <c r="D262" s="102">
        <v>0.41106872831037955</v>
      </c>
    </row>
    <row r="263" spans="2:4" x14ac:dyDescent="0.25">
      <c r="B263" s="61">
        <v>230</v>
      </c>
      <c r="C263" s="61">
        <v>305569.17668312718</v>
      </c>
      <c r="D263" s="102">
        <v>0.29162452105049019</v>
      </c>
    </row>
    <row r="264" spans="2:4" x14ac:dyDescent="0.25">
      <c r="B264" s="61">
        <v>231</v>
      </c>
      <c r="C264" s="61">
        <v>347229.10974253877</v>
      </c>
      <c r="D264" s="102">
        <v>0.29113360846490521</v>
      </c>
    </row>
    <row r="265" spans="2:4" x14ac:dyDescent="0.25">
      <c r="B265" s="61">
        <v>232</v>
      </c>
      <c r="C265" s="61">
        <v>412166.81846627535</v>
      </c>
      <c r="D265" s="102">
        <v>0.38670446483778753</v>
      </c>
    </row>
    <row r="266" spans="2:4" x14ac:dyDescent="0.25">
      <c r="B266" s="61">
        <v>233</v>
      </c>
      <c r="C266" s="61">
        <v>51793.70219539816</v>
      </c>
      <c r="D266" s="102">
        <v>0.10632461914073899</v>
      </c>
    </row>
    <row r="267" spans="2:4" x14ac:dyDescent="0.25">
      <c r="B267" s="61">
        <v>234</v>
      </c>
      <c r="C267" s="61">
        <v>252959.27095097094</v>
      </c>
      <c r="D267" s="102">
        <v>0.25483596051332436</v>
      </c>
    </row>
    <row r="268" spans="2:4" x14ac:dyDescent="0.25">
      <c r="B268" s="61">
        <v>235</v>
      </c>
      <c r="C268" s="61">
        <v>174295.44630004698</v>
      </c>
      <c r="D268" s="102">
        <v>0.22258186752633957</v>
      </c>
    </row>
    <row r="269" spans="2:4" x14ac:dyDescent="0.25">
      <c r="B269" s="61">
        <v>236</v>
      </c>
      <c r="C269" s="61">
        <v>115735.4309937451</v>
      </c>
      <c r="D269" s="102">
        <v>0.20934064852393286</v>
      </c>
    </row>
    <row r="270" spans="2:4" x14ac:dyDescent="0.25">
      <c r="B270" s="61">
        <v>237</v>
      </c>
      <c r="C270" s="61">
        <v>228013.79121821816</v>
      </c>
      <c r="D270" s="102">
        <v>0.20514360873971316</v>
      </c>
    </row>
    <row r="271" spans="2:4" x14ac:dyDescent="0.25">
      <c r="B271" s="61">
        <v>238</v>
      </c>
      <c r="C271" s="61">
        <v>199263.05786341836</v>
      </c>
      <c r="D271" s="102">
        <v>0.24144802031380785</v>
      </c>
    </row>
    <row r="272" spans="2:4" x14ac:dyDescent="0.25">
      <c r="B272" s="61">
        <v>239</v>
      </c>
      <c r="C272" s="61">
        <v>381995.04273386335</v>
      </c>
      <c r="D272" s="102">
        <v>0.37761913216188359</v>
      </c>
    </row>
    <row r="273" spans="2:4" x14ac:dyDescent="0.25">
      <c r="B273" s="61">
        <v>240</v>
      </c>
      <c r="C273" s="61">
        <v>348532.4490734057</v>
      </c>
      <c r="D273" s="102">
        <v>0.31679359692135511</v>
      </c>
    </row>
    <row r="274" spans="2:4" x14ac:dyDescent="0.25">
      <c r="B274" s="61">
        <v>241</v>
      </c>
      <c r="C274" s="61">
        <v>111746.30077377876</v>
      </c>
      <c r="D274" s="102">
        <v>0.14900467922054461</v>
      </c>
    </row>
    <row r="275" spans="2:4" x14ac:dyDescent="0.25">
      <c r="B275" s="61">
        <v>242</v>
      </c>
      <c r="C275" s="61">
        <v>219594.0809702148</v>
      </c>
      <c r="D275" s="102">
        <v>0.24322981309725122</v>
      </c>
    </row>
    <row r="276" spans="2:4" x14ac:dyDescent="0.25">
      <c r="B276" s="61">
        <v>243</v>
      </c>
      <c r="C276" s="61">
        <v>440114.74975870119</v>
      </c>
      <c r="D276" s="102">
        <v>0.39906092686459482</v>
      </c>
    </row>
    <row r="277" spans="2:4" x14ac:dyDescent="0.25">
      <c r="B277" s="61">
        <v>244</v>
      </c>
      <c r="C277" s="61">
        <v>301914.75366650755</v>
      </c>
      <c r="D277" s="102">
        <v>0.30151995790907349</v>
      </c>
    </row>
    <row r="278" spans="2:4" x14ac:dyDescent="0.25">
      <c r="B278" s="61">
        <v>245</v>
      </c>
      <c r="C278" s="61">
        <v>161162.35422042524</v>
      </c>
      <c r="D278" s="102">
        <v>0.18362927212708224</v>
      </c>
    </row>
    <row r="279" spans="2:4" x14ac:dyDescent="0.25">
      <c r="B279" s="61">
        <v>246</v>
      </c>
      <c r="C279" s="61">
        <v>318403.5022319014</v>
      </c>
      <c r="D279" s="102">
        <v>0.3304671635578651</v>
      </c>
    </row>
    <row r="280" spans="2:4" x14ac:dyDescent="0.25">
      <c r="B280" s="61">
        <v>247</v>
      </c>
      <c r="C280" s="61">
        <v>319319.50276453153</v>
      </c>
      <c r="D280" s="102">
        <v>0.29408654078718288</v>
      </c>
    </row>
    <row r="281" spans="2:4" x14ac:dyDescent="0.25">
      <c r="B281" s="61">
        <v>248</v>
      </c>
      <c r="C281" s="61">
        <v>242651.07049259089</v>
      </c>
      <c r="D281" s="102">
        <v>0.22740790672405331</v>
      </c>
    </row>
    <row r="282" spans="2:4" x14ac:dyDescent="0.25">
      <c r="B282" s="61">
        <v>249</v>
      </c>
      <c r="C282" s="61">
        <v>267180.90454532765</v>
      </c>
      <c r="D282" s="102">
        <v>0.2552620685892999</v>
      </c>
    </row>
    <row r="283" spans="2:4" x14ac:dyDescent="0.25">
      <c r="B283" s="61">
        <v>250</v>
      </c>
      <c r="C283" s="61">
        <v>211100.46161285834</v>
      </c>
      <c r="D283" s="102">
        <v>0.22119945624214465</v>
      </c>
    </row>
    <row r="284" spans="2:4" x14ac:dyDescent="0.25">
      <c r="B284" s="61">
        <v>251</v>
      </c>
      <c r="C284" s="61">
        <v>392982.78009041212</v>
      </c>
      <c r="D284" s="102">
        <v>0.36253955347347877</v>
      </c>
    </row>
    <row r="285" spans="2:4" x14ac:dyDescent="0.25">
      <c r="B285" s="61">
        <v>252</v>
      </c>
      <c r="C285" s="61">
        <v>103306.1272403308</v>
      </c>
      <c r="D285" s="102">
        <v>0.15867619362639607</v>
      </c>
    </row>
    <row r="286" spans="2:4" x14ac:dyDescent="0.25">
      <c r="B286" s="61">
        <v>253</v>
      </c>
      <c r="C286" s="61">
        <v>40848.960392183857</v>
      </c>
      <c r="D286" s="102">
        <v>0.10654764657452764</v>
      </c>
    </row>
    <row r="287" spans="2:4" x14ac:dyDescent="0.25">
      <c r="B287" s="61">
        <v>254</v>
      </c>
      <c r="C287" s="61">
        <v>464082.32536864211</v>
      </c>
      <c r="D287" s="102">
        <v>0.37422848674177556</v>
      </c>
    </row>
    <row r="288" spans="2:4" x14ac:dyDescent="0.25">
      <c r="B288" s="61">
        <v>255</v>
      </c>
      <c r="C288" s="61">
        <v>239138.68376687111</v>
      </c>
      <c r="D288" s="102">
        <v>0.24210884709707381</v>
      </c>
    </row>
    <row r="289" spans="2:4" x14ac:dyDescent="0.25">
      <c r="B289" s="61">
        <v>256</v>
      </c>
      <c r="C289" s="61">
        <v>109792.18953424209</v>
      </c>
      <c r="D289" s="102">
        <v>0.14936301837617916</v>
      </c>
    </row>
    <row r="290" spans="2:4" x14ac:dyDescent="0.25">
      <c r="B290" s="61">
        <v>257</v>
      </c>
      <c r="C290" s="61">
        <v>183277.39149079483</v>
      </c>
      <c r="D290" s="102">
        <v>0.2108497260198019</v>
      </c>
    </row>
    <row r="291" spans="2:4" x14ac:dyDescent="0.25">
      <c r="B291" s="61">
        <v>258</v>
      </c>
      <c r="C291" s="61">
        <v>263384.09031462204</v>
      </c>
      <c r="D291" s="102">
        <v>0.25454331454293433</v>
      </c>
    </row>
    <row r="292" spans="2:4" x14ac:dyDescent="0.25">
      <c r="B292" s="61">
        <v>259</v>
      </c>
      <c r="C292" s="61">
        <v>320431.23998954124</v>
      </c>
      <c r="D292" s="102">
        <v>0.33268660151349372</v>
      </c>
    </row>
    <row r="293" spans="2:4" x14ac:dyDescent="0.25">
      <c r="B293" s="61">
        <v>260</v>
      </c>
      <c r="C293" s="61">
        <v>292816.91448730323</v>
      </c>
      <c r="D293" s="102">
        <v>0.33382583070823313</v>
      </c>
    </row>
    <row r="294" spans="2:4" x14ac:dyDescent="0.25">
      <c r="B294" s="61">
        <v>261</v>
      </c>
      <c r="C294" s="61">
        <v>505763.07137873664</v>
      </c>
      <c r="D294" s="102">
        <v>0.48971703000524758</v>
      </c>
    </row>
    <row r="295" spans="2:4" x14ac:dyDescent="0.25">
      <c r="B295" s="61">
        <v>262</v>
      </c>
      <c r="C295" s="61">
        <v>139105.19214869081</v>
      </c>
      <c r="D295" s="102">
        <v>0.16926626159213476</v>
      </c>
    </row>
    <row r="296" spans="2:4" x14ac:dyDescent="0.25">
      <c r="B296" s="61">
        <v>263</v>
      </c>
      <c r="C296" s="61">
        <v>351930.88044099277</v>
      </c>
      <c r="D296" s="102">
        <v>0.34404828884831096</v>
      </c>
    </row>
    <row r="297" spans="2:4" x14ac:dyDescent="0.25">
      <c r="B297" s="61">
        <v>264</v>
      </c>
      <c r="C297" s="61">
        <v>286354.89810342004</v>
      </c>
      <c r="D297" s="102">
        <v>0.41160767946758803</v>
      </c>
    </row>
    <row r="298" spans="2:4" x14ac:dyDescent="0.25">
      <c r="B298" s="61">
        <v>265</v>
      </c>
      <c r="C298" s="61">
        <v>452772.63886735984</v>
      </c>
      <c r="D298" s="102">
        <v>0.45037426756550047</v>
      </c>
    </row>
    <row r="299" spans="2:4" x14ac:dyDescent="0.25">
      <c r="B299" s="61">
        <v>266</v>
      </c>
      <c r="C299" s="61">
        <v>343055.55336969695</v>
      </c>
      <c r="D299" s="102">
        <v>0.28282174160508622</v>
      </c>
    </row>
    <row r="300" spans="2:4" x14ac:dyDescent="0.25">
      <c r="B300" s="61">
        <v>267</v>
      </c>
      <c r="C300" s="61">
        <v>10551.434065570298</v>
      </c>
      <c r="D300" s="102">
        <v>7.2636449152834404E-2</v>
      </c>
    </row>
    <row r="301" spans="2:4" x14ac:dyDescent="0.25">
      <c r="B301" s="61">
        <v>268</v>
      </c>
      <c r="C301" s="61">
        <v>81019.227439195383</v>
      </c>
      <c r="D301" s="102">
        <v>0.12865207766412534</v>
      </c>
    </row>
    <row r="302" spans="2:4" x14ac:dyDescent="0.25">
      <c r="B302" s="61">
        <v>269</v>
      </c>
      <c r="C302" s="61">
        <v>109366.72548702196</v>
      </c>
      <c r="D302" s="102">
        <v>0.14344645913450393</v>
      </c>
    </row>
    <row r="303" spans="2:4" x14ac:dyDescent="0.25">
      <c r="B303" s="61">
        <v>270</v>
      </c>
      <c r="C303" s="61">
        <v>451444.50406692515</v>
      </c>
      <c r="D303" s="102">
        <v>0.38796719705962701</v>
      </c>
    </row>
    <row r="304" spans="2:4" x14ac:dyDescent="0.25">
      <c r="B304" s="61">
        <v>271</v>
      </c>
      <c r="C304" s="61">
        <v>235199.91057567787</v>
      </c>
      <c r="D304" s="102">
        <v>0.26451439107004693</v>
      </c>
    </row>
    <row r="305" spans="2:4" x14ac:dyDescent="0.25">
      <c r="B305" s="61">
        <v>272</v>
      </c>
      <c r="C305" s="61">
        <v>312518.18926777481</v>
      </c>
      <c r="D305" s="102">
        <v>0.26099717624065</v>
      </c>
    </row>
    <row r="306" spans="2:4" x14ac:dyDescent="0.25">
      <c r="B306" s="61">
        <v>273</v>
      </c>
      <c r="C306" s="61">
        <v>191789.19583383517</v>
      </c>
      <c r="D306" s="102">
        <v>0.20527253087618624</v>
      </c>
    </row>
    <row r="307" spans="2:4" x14ac:dyDescent="0.25">
      <c r="B307" s="61">
        <v>274</v>
      </c>
      <c r="C307" s="61">
        <v>413903.72872918716</v>
      </c>
      <c r="D307" s="102">
        <v>0.35349963784203431</v>
      </c>
    </row>
    <row r="308" spans="2:4" x14ac:dyDescent="0.25">
      <c r="B308" s="61">
        <v>275</v>
      </c>
      <c r="C308" s="61">
        <v>62164.901673688029</v>
      </c>
      <c r="D308" s="102">
        <v>0.11236793719084592</v>
      </c>
    </row>
    <row r="309" spans="2:4" x14ac:dyDescent="0.25">
      <c r="B309" s="61">
        <v>276</v>
      </c>
      <c r="C309" s="61">
        <v>194128.25483454217</v>
      </c>
      <c r="D309" s="102">
        <v>0.20672731397632016</v>
      </c>
    </row>
    <row r="310" spans="2:4" x14ac:dyDescent="0.25">
      <c r="B310" s="61">
        <v>277</v>
      </c>
      <c r="C310" s="61">
        <v>454464.78341966984</v>
      </c>
      <c r="D310" s="102">
        <v>0.36378712992985029</v>
      </c>
    </row>
    <row r="311" spans="2:4" x14ac:dyDescent="0.25">
      <c r="B311" s="61">
        <v>278</v>
      </c>
      <c r="C311" s="61">
        <v>300906.21074873698</v>
      </c>
      <c r="D311" s="102">
        <v>0.28630019731639278</v>
      </c>
    </row>
    <row r="312" spans="2:4" x14ac:dyDescent="0.25">
      <c r="B312" s="61">
        <v>279</v>
      </c>
      <c r="C312" s="61">
        <v>228252.99250053125</v>
      </c>
      <c r="D312" s="102">
        <v>0.28489505737641752</v>
      </c>
    </row>
    <row r="313" spans="2:4" x14ac:dyDescent="0.25">
      <c r="B313" s="61">
        <v>280</v>
      </c>
      <c r="C313" s="61">
        <v>158516.79931701225</v>
      </c>
      <c r="D313" s="102">
        <v>0.17070578614215726</v>
      </c>
    </row>
    <row r="314" spans="2:4" x14ac:dyDescent="0.25">
      <c r="B314" s="61">
        <v>281</v>
      </c>
      <c r="C314" s="61">
        <v>338635.54009663977</v>
      </c>
      <c r="D314" s="102">
        <v>0.29106411636483998</v>
      </c>
    </row>
    <row r="315" spans="2:4" x14ac:dyDescent="0.25">
      <c r="B315" s="61">
        <v>282</v>
      </c>
      <c r="C315" s="61">
        <v>106803.28514075314</v>
      </c>
      <c r="D315" s="102">
        <v>0.15521953791696164</v>
      </c>
    </row>
    <row r="316" spans="2:4" x14ac:dyDescent="0.25">
      <c r="B316" s="61">
        <v>283</v>
      </c>
      <c r="C316" s="61">
        <v>482609.95696709142</v>
      </c>
      <c r="D316" s="102">
        <v>0.35375525454102852</v>
      </c>
    </row>
    <row r="317" spans="2:4" x14ac:dyDescent="0.25">
      <c r="B317" s="61">
        <v>284</v>
      </c>
      <c r="C317" s="61">
        <v>282899.23727522127</v>
      </c>
      <c r="D317" s="102">
        <v>0.29046761429129186</v>
      </c>
    </row>
    <row r="318" spans="2:4" x14ac:dyDescent="0.25">
      <c r="B318" s="61">
        <v>285</v>
      </c>
      <c r="C318" s="61">
        <v>377953.13932252279</v>
      </c>
      <c r="D318" s="102">
        <v>0.36111294269936334</v>
      </c>
    </row>
    <row r="319" spans="2:4" x14ac:dyDescent="0.25">
      <c r="B319" s="61">
        <v>286</v>
      </c>
      <c r="C319" s="61">
        <v>172194.01546605793</v>
      </c>
      <c r="D319" s="102">
        <v>0.17973255577393932</v>
      </c>
    </row>
    <row r="320" spans="2:4" x14ac:dyDescent="0.25">
      <c r="B320" s="61">
        <v>287</v>
      </c>
      <c r="C320" s="61">
        <v>237568.59228134947</v>
      </c>
      <c r="D320" s="102">
        <v>0.22299407148866202</v>
      </c>
    </row>
    <row r="321" spans="2:4" x14ac:dyDescent="0.25">
      <c r="B321" s="61">
        <v>288</v>
      </c>
      <c r="C321" s="61">
        <v>336751.27479840268</v>
      </c>
      <c r="D321" s="102">
        <v>0.31987232842439872</v>
      </c>
    </row>
    <row r="322" spans="2:4" x14ac:dyDescent="0.25">
      <c r="B322" s="61">
        <v>289</v>
      </c>
      <c r="C322" s="61">
        <v>164901.36825636565</v>
      </c>
      <c r="D322" s="102">
        <v>0.19517291861944086</v>
      </c>
    </row>
    <row r="323" spans="2:4" x14ac:dyDescent="0.25">
      <c r="B323" s="61">
        <v>290</v>
      </c>
      <c r="C323" s="61">
        <v>361228.52102920553</v>
      </c>
      <c r="D323" s="102">
        <v>0.33403085719918901</v>
      </c>
    </row>
    <row r="324" spans="2:4" x14ac:dyDescent="0.25">
      <c r="B324" s="61">
        <v>291</v>
      </c>
      <c r="C324" s="61">
        <v>401749.60966316692</v>
      </c>
      <c r="D324" s="102">
        <v>0.35921385040213671</v>
      </c>
    </row>
    <row r="325" spans="2:4" x14ac:dyDescent="0.25">
      <c r="B325" s="61">
        <v>292</v>
      </c>
      <c r="C325" s="61">
        <v>498232.396606736</v>
      </c>
      <c r="D325" s="102">
        <v>0.43029480896892025</v>
      </c>
    </row>
    <row r="326" spans="2:4" x14ac:dyDescent="0.25">
      <c r="B326" s="61">
        <v>293</v>
      </c>
      <c r="C326" s="61">
        <v>218605.79700093146</v>
      </c>
      <c r="D326" s="102">
        <v>0.2537888673083859</v>
      </c>
    </row>
    <row r="327" spans="2:4" x14ac:dyDescent="0.25">
      <c r="B327" s="61">
        <v>294</v>
      </c>
      <c r="C327" s="61">
        <v>226149.6933009756</v>
      </c>
      <c r="D327" s="102">
        <v>0.27772884196004521</v>
      </c>
    </row>
    <row r="328" spans="2:4" x14ac:dyDescent="0.25">
      <c r="B328" s="61">
        <v>295</v>
      </c>
      <c r="C328" s="61">
        <v>429155.82005932496</v>
      </c>
      <c r="D328" s="102">
        <v>0.41535396310566286</v>
      </c>
    </row>
    <row r="329" spans="2:4" x14ac:dyDescent="0.25">
      <c r="B329" s="61">
        <v>296</v>
      </c>
      <c r="C329" s="61">
        <v>222804.48316923028</v>
      </c>
      <c r="D329" s="102">
        <v>0.24640328676614964</v>
      </c>
    </row>
    <row r="330" spans="2:4" x14ac:dyDescent="0.25">
      <c r="B330" s="61">
        <v>297</v>
      </c>
      <c r="C330" s="61">
        <v>265627.87011933955</v>
      </c>
      <c r="D330" s="102">
        <v>0.29919584020921364</v>
      </c>
    </row>
    <row r="331" spans="2:4" x14ac:dyDescent="0.25">
      <c r="B331" s="61">
        <v>298</v>
      </c>
      <c r="C331" s="61">
        <v>139940.94196609472</v>
      </c>
      <c r="D331" s="102">
        <v>0.17279597117563883</v>
      </c>
    </row>
    <row r="332" spans="2:4" x14ac:dyDescent="0.25">
      <c r="B332" s="61">
        <v>299</v>
      </c>
      <c r="C332" s="61">
        <v>-28584.394938198966</v>
      </c>
      <c r="D332" s="102">
        <v>2.8178067917273619E-2</v>
      </c>
    </row>
    <row r="333" spans="2:4" x14ac:dyDescent="0.25">
      <c r="B333" s="61">
        <v>300</v>
      </c>
      <c r="C333" s="61">
        <v>265329.09088583698</v>
      </c>
      <c r="D333" s="102">
        <v>0.25657701016090151</v>
      </c>
    </row>
    <row r="334" spans="2:4" x14ac:dyDescent="0.25">
      <c r="B334" s="61">
        <v>301</v>
      </c>
      <c r="C334" s="61">
        <v>301371.1706019718</v>
      </c>
      <c r="D334" s="102">
        <v>0.32694124049062889</v>
      </c>
    </row>
    <row r="335" spans="2:4" x14ac:dyDescent="0.25">
      <c r="B335" s="61">
        <v>302</v>
      </c>
      <c r="C335" s="61">
        <v>264604.92839031492</v>
      </c>
      <c r="D335" s="102">
        <v>0.30409229319985176</v>
      </c>
    </row>
    <row r="336" spans="2:4" x14ac:dyDescent="0.25">
      <c r="B336" s="61">
        <v>303</v>
      </c>
      <c r="C336" s="61">
        <v>286076.70079288119</v>
      </c>
      <c r="D336" s="102">
        <v>0.29648100622892382</v>
      </c>
    </row>
    <row r="337" spans="2:4" x14ac:dyDescent="0.25">
      <c r="B337" s="61">
        <v>304</v>
      </c>
      <c r="C337" s="61">
        <v>270264.56050044263</v>
      </c>
      <c r="D337" s="102">
        <v>0.27967576912578962</v>
      </c>
    </row>
    <row r="338" spans="2:4" x14ac:dyDescent="0.25">
      <c r="B338" s="61">
        <v>305</v>
      </c>
      <c r="C338" s="61">
        <v>26614.223385394027</v>
      </c>
      <c r="D338" s="102">
        <v>8.6164473043399914E-2</v>
      </c>
    </row>
    <row r="339" spans="2:4" x14ac:dyDescent="0.25">
      <c r="B339" s="61">
        <v>306</v>
      </c>
      <c r="C339" s="61">
        <v>479298.01361016673</v>
      </c>
      <c r="D339" s="102">
        <v>0.4638568458519412</v>
      </c>
    </row>
    <row r="340" spans="2:4" x14ac:dyDescent="0.25">
      <c r="B340" s="61">
        <v>307</v>
      </c>
      <c r="C340" s="61">
        <v>294510.10994029557</v>
      </c>
      <c r="D340" s="102">
        <v>0.2564801856568828</v>
      </c>
    </row>
    <row r="341" spans="2:4" x14ac:dyDescent="0.25">
      <c r="B341" s="61">
        <v>308</v>
      </c>
      <c r="C341" s="61">
        <v>341460.90254343092</v>
      </c>
      <c r="D341" s="102">
        <v>0.30673447820398092</v>
      </c>
    </row>
    <row r="342" spans="2:4" x14ac:dyDescent="0.25">
      <c r="B342" s="61">
        <v>309</v>
      </c>
      <c r="C342" s="61">
        <v>169722.15979814669</v>
      </c>
      <c r="D342" s="102">
        <v>0.22577084548907966</v>
      </c>
    </row>
    <row r="343" spans="2:4" x14ac:dyDescent="0.25">
      <c r="B343" s="61">
        <v>310</v>
      </c>
      <c r="C343" s="61">
        <v>308319.33633971075</v>
      </c>
      <c r="D343" s="102">
        <v>0.29023251410121098</v>
      </c>
    </row>
    <row r="344" spans="2:4" x14ac:dyDescent="0.25">
      <c r="B344" s="61">
        <v>311</v>
      </c>
      <c r="C344" s="61">
        <v>-13543.423550620151</v>
      </c>
      <c r="D344" s="102">
        <v>5.291955227844225E-2</v>
      </c>
    </row>
    <row r="345" spans="2:4" x14ac:dyDescent="0.25">
      <c r="B345" s="61">
        <v>312</v>
      </c>
      <c r="C345" s="61">
        <v>317355.75081654277</v>
      </c>
      <c r="D345" s="102">
        <v>0.31452114059500036</v>
      </c>
    </row>
    <row r="346" spans="2:4" x14ac:dyDescent="0.25">
      <c r="B346" s="61">
        <v>313</v>
      </c>
      <c r="C346" s="61">
        <v>208091.32133422222</v>
      </c>
      <c r="D346" s="102">
        <v>0.28583934846181602</v>
      </c>
    </row>
    <row r="347" spans="2:4" x14ac:dyDescent="0.25">
      <c r="B347" s="61">
        <v>314</v>
      </c>
      <c r="C347" s="61">
        <v>105797.08819719148</v>
      </c>
      <c r="D347" s="102">
        <v>0.15259687855725623</v>
      </c>
    </row>
    <row r="348" spans="2:4" x14ac:dyDescent="0.25">
      <c r="B348" s="61">
        <v>315</v>
      </c>
      <c r="C348" s="61">
        <v>186727.40304883849</v>
      </c>
      <c r="D348" s="102">
        <v>0.19551555434501688</v>
      </c>
    </row>
    <row r="349" spans="2:4" x14ac:dyDescent="0.25">
      <c r="B349" s="61">
        <v>316</v>
      </c>
      <c r="C349" s="61">
        <v>349060.1840652345</v>
      </c>
      <c r="D349" s="102">
        <v>0.32237987707229321</v>
      </c>
    </row>
    <row r="350" spans="2:4" x14ac:dyDescent="0.25">
      <c r="B350" s="61">
        <v>317</v>
      </c>
      <c r="C350" s="61">
        <v>272263.31399990851</v>
      </c>
      <c r="D350" s="102">
        <v>0.33678389249851048</v>
      </c>
    </row>
    <row r="351" spans="2:4" x14ac:dyDescent="0.25">
      <c r="B351" s="61">
        <v>318</v>
      </c>
      <c r="C351" s="61">
        <v>57745.63472050929</v>
      </c>
      <c r="D351" s="102">
        <v>0.11756323636394028</v>
      </c>
    </row>
    <row r="352" spans="2:4" x14ac:dyDescent="0.25">
      <c r="B352" s="61">
        <v>319</v>
      </c>
      <c r="C352" s="61">
        <v>106188.80820447725</v>
      </c>
      <c r="D352" s="102">
        <v>0.14810933830643291</v>
      </c>
    </row>
    <row r="353" spans="2:4" x14ac:dyDescent="0.25">
      <c r="B353" s="61">
        <v>320</v>
      </c>
      <c r="C353" s="61">
        <v>262382.44083022187</v>
      </c>
      <c r="D353" s="102">
        <v>0.28722746808121924</v>
      </c>
    </row>
    <row r="354" spans="2:4" x14ac:dyDescent="0.25">
      <c r="B354" s="61">
        <v>321</v>
      </c>
      <c r="C354" s="61">
        <v>168358.7042152303</v>
      </c>
      <c r="D354" s="102">
        <v>0.20567755400369547</v>
      </c>
    </row>
    <row r="355" spans="2:4" x14ac:dyDescent="0.25">
      <c r="B355" s="61">
        <v>322</v>
      </c>
      <c r="C355" s="61">
        <v>84506.263246022398</v>
      </c>
      <c r="D355" s="102">
        <v>0.14046225310837812</v>
      </c>
    </row>
    <row r="356" spans="2:4" x14ac:dyDescent="0.25">
      <c r="B356" s="61">
        <v>323</v>
      </c>
      <c r="C356" s="61">
        <v>387669.68803230196</v>
      </c>
      <c r="D356" s="102">
        <v>0.35809783097601744</v>
      </c>
    </row>
    <row r="357" spans="2:4" x14ac:dyDescent="0.25">
      <c r="B357" s="61">
        <v>324</v>
      </c>
      <c r="C357" s="61">
        <v>290607.21201103192</v>
      </c>
      <c r="D357" s="102">
        <v>0.31645330366941682</v>
      </c>
    </row>
    <row r="358" spans="2:4" x14ac:dyDescent="0.25">
      <c r="B358" s="61">
        <v>325</v>
      </c>
      <c r="C358" s="61">
        <v>-40868.321388503886</v>
      </c>
      <c r="D358" s="102">
        <v>1.6897713433886796E-2</v>
      </c>
    </row>
    <row r="359" spans="2:4" x14ac:dyDescent="0.25">
      <c r="B359" s="61">
        <v>326</v>
      </c>
      <c r="C359" s="61">
        <v>224057.55034148705</v>
      </c>
      <c r="D359" s="102">
        <v>0.22927529653519274</v>
      </c>
    </row>
    <row r="360" spans="2:4" x14ac:dyDescent="0.25">
      <c r="B360" s="61">
        <v>327</v>
      </c>
      <c r="C360" s="61">
        <v>144451.92729881383</v>
      </c>
      <c r="D360" s="102">
        <v>0.18283598156857583</v>
      </c>
    </row>
    <row r="361" spans="2:4" x14ac:dyDescent="0.25">
      <c r="B361" s="61">
        <v>328</v>
      </c>
      <c r="C361" s="61">
        <v>230177.12304857234</v>
      </c>
      <c r="D361" s="102">
        <v>0.23986340640778403</v>
      </c>
    </row>
    <row r="362" spans="2:4" x14ac:dyDescent="0.25">
      <c r="B362" s="61">
        <v>329</v>
      </c>
      <c r="C362" s="61">
        <v>152832.53085123666</v>
      </c>
      <c r="D362" s="102">
        <v>0.19893410715155002</v>
      </c>
    </row>
    <row r="363" spans="2:4" x14ac:dyDescent="0.25">
      <c r="B363" s="61">
        <v>330</v>
      </c>
      <c r="C363" s="61">
        <v>124280.62277429813</v>
      </c>
      <c r="D363" s="102">
        <v>0.15459522880038667</v>
      </c>
    </row>
    <row r="364" spans="2:4" x14ac:dyDescent="0.25">
      <c r="B364" s="61">
        <v>331</v>
      </c>
      <c r="C364" s="61">
        <v>76114.621472779138</v>
      </c>
      <c r="D364" s="102">
        <v>0.12909648354464087</v>
      </c>
    </row>
    <row r="365" spans="2:4" x14ac:dyDescent="0.25">
      <c r="B365" s="61">
        <v>332</v>
      </c>
      <c r="C365" s="61">
        <v>291848.9691398635</v>
      </c>
      <c r="D365" s="102">
        <v>0.2647391393857097</v>
      </c>
    </row>
    <row r="366" spans="2:4" x14ac:dyDescent="0.25">
      <c r="B366" s="61">
        <v>333</v>
      </c>
      <c r="C366" s="61">
        <v>265071.79097028042</v>
      </c>
      <c r="D366" s="102">
        <v>0.28828000084868122</v>
      </c>
    </row>
    <row r="367" spans="2:4" x14ac:dyDescent="0.25">
      <c r="B367" s="61">
        <v>334</v>
      </c>
      <c r="C367" s="61">
        <v>353606.71569304762</v>
      </c>
      <c r="D367" s="102">
        <v>0.35264835453467236</v>
      </c>
    </row>
    <row r="368" spans="2:4" x14ac:dyDescent="0.25">
      <c r="B368" s="61">
        <v>335</v>
      </c>
      <c r="C368" s="61">
        <v>411971.0615264097</v>
      </c>
      <c r="D368" s="102">
        <v>0.31699896248690873</v>
      </c>
    </row>
    <row r="369" spans="2:4" x14ac:dyDescent="0.25">
      <c r="B369" s="61">
        <v>336</v>
      </c>
      <c r="C369" s="61">
        <v>107190.76062746724</v>
      </c>
      <c r="D369" s="102">
        <v>0.13111948635808712</v>
      </c>
    </row>
    <row r="370" spans="2:4" x14ac:dyDescent="0.25">
      <c r="B370" s="61">
        <v>337</v>
      </c>
      <c r="C370" s="61">
        <v>499206.7196804774</v>
      </c>
      <c r="D370" s="102">
        <v>0.52719092183307592</v>
      </c>
    </row>
    <row r="371" spans="2:4" x14ac:dyDescent="0.25">
      <c r="B371" s="61">
        <v>338</v>
      </c>
      <c r="C371" s="61">
        <v>224393.98137180274</v>
      </c>
      <c r="D371" s="102">
        <v>0.20811827864650367</v>
      </c>
    </row>
    <row r="372" spans="2:4" x14ac:dyDescent="0.25">
      <c r="B372" s="61">
        <v>339</v>
      </c>
      <c r="C372" s="61">
        <v>216292.46038238402</v>
      </c>
      <c r="D372" s="102">
        <v>0.28009293110392441</v>
      </c>
    </row>
    <row r="373" spans="2:4" x14ac:dyDescent="0.25">
      <c r="B373" s="61">
        <v>340</v>
      </c>
      <c r="C373" s="61">
        <v>90168.961769856571</v>
      </c>
      <c r="D373" s="102">
        <v>0.13370959896884393</v>
      </c>
    </row>
    <row r="374" spans="2:4" x14ac:dyDescent="0.25">
      <c r="B374" s="61">
        <v>341</v>
      </c>
      <c r="C374" s="61">
        <v>326499.547881059</v>
      </c>
      <c r="D374" s="102">
        <v>0.29298301265301707</v>
      </c>
    </row>
    <row r="375" spans="2:4" x14ac:dyDescent="0.25">
      <c r="B375" s="61">
        <v>342</v>
      </c>
      <c r="C375" s="61">
        <v>202842.9098864682</v>
      </c>
      <c r="D375" s="102">
        <v>0.22349232795833385</v>
      </c>
    </row>
    <row r="376" spans="2:4" x14ac:dyDescent="0.25">
      <c r="B376" s="61">
        <v>343</v>
      </c>
      <c r="C376" s="61">
        <v>192598.77854859049</v>
      </c>
      <c r="D376" s="102">
        <v>0.20521701486457355</v>
      </c>
    </row>
    <row r="377" spans="2:4" x14ac:dyDescent="0.25">
      <c r="B377" s="61">
        <v>344</v>
      </c>
      <c r="C377" s="61">
        <v>200693.64572616282</v>
      </c>
      <c r="D377" s="102">
        <v>0.22189155466268851</v>
      </c>
    </row>
    <row r="378" spans="2:4" x14ac:dyDescent="0.25">
      <c r="B378" s="61">
        <v>345</v>
      </c>
      <c r="C378" s="61">
        <v>348186.58381260163</v>
      </c>
      <c r="D378" s="102">
        <v>0.30629667714084574</v>
      </c>
    </row>
    <row r="379" spans="2:4" x14ac:dyDescent="0.25">
      <c r="B379" s="61">
        <v>346</v>
      </c>
      <c r="C379" s="61">
        <v>170851.38582044188</v>
      </c>
      <c r="D379" s="102">
        <v>0.1852707763989383</v>
      </c>
    </row>
    <row r="380" spans="2:4" x14ac:dyDescent="0.25">
      <c r="B380" s="61">
        <v>347</v>
      </c>
      <c r="C380" s="61">
        <v>204970.75767472165</v>
      </c>
      <c r="D380" s="102">
        <v>0.28116507406056956</v>
      </c>
    </row>
    <row r="381" spans="2:4" x14ac:dyDescent="0.25">
      <c r="B381" s="61">
        <v>348</v>
      </c>
      <c r="C381" s="61">
        <v>105911.5888298701</v>
      </c>
      <c r="D381" s="102">
        <v>0.15502971383449649</v>
      </c>
    </row>
    <row r="382" spans="2:4" x14ac:dyDescent="0.25">
      <c r="B382" s="61">
        <v>349</v>
      </c>
      <c r="C382" s="61">
        <v>270128.82697674539</v>
      </c>
      <c r="D382" s="102">
        <v>0.26472538122821421</v>
      </c>
    </row>
    <row r="383" spans="2:4" x14ac:dyDescent="0.25">
      <c r="B383" s="61">
        <v>350</v>
      </c>
      <c r="C383" s="61">
        <v>211727.54693084012</v>
      </c>
      <c r="D383" s="102">
        <v>0.22935907247680087</v>
      </c>
    </row>
    <row r="384" spans="2:4" x14ac:dyDescent="0.25">
      <c r="B384" s="61">
        <v>351</v>
      </c>
      <c r="C384" s="61">
        <v>331310.78023877216</v>
      </c>
      <c r="D384" s="102">
        <v>0.27678826335851414</v>
      </c>
    </row>
    <row r="385" spans="2:4" x14ac:dyDescent="0.25">
      <c r="B385" s="61">
        <v>352</v>
      </c>
      <c r="C385" s="61">
        <v>340670.7527642725</v>
      </c>
      <c r="D385" s="102">
        <v>0.29062506359780627</v>
      </c>
    </row>
    <row r="386" spans="2:4" x14ac:dyDescent="0.25">
      <c r="B386" s="61">
        <v>353</v>
      </c>
      <c r="C386" s="61">
        <v>431363.89276774495</v>
      </c>
      <c r="D386" s="102">
        <v>0.3785542436156677</v>
      </c>
    </row>
    <row r="387" spans="2:4" x14ac:dyDescent="0.25">
      <c r="B387" s="61">
        <v>354</v>
      </c>
      <c r="C387" s="61">
        <v>295756.18356089969</v>
      </c>
      <c r="D387" s="102">
        <v>0.24528919376375868</v>
      </c>
    </row>
    <row r="388" spans="2:4" x14ac:dyDescent="0.25">
      <c r="B388" s="61">
        <v>355</v>
      </c>
      <c r="C388" s="61">
        <v>433032.97083158942</v>
      </c>
      <c r="D388" s="102">
        <v>0.39681406965087263</v>
      </c>
    </row>
    <row r="389" spans="2:4" x14ac:dyDescent="0.25">
      <c r="B389" s="61">
        <v>356</v>
      </c>
      <c r="C389" s="61">
        <v>163885.00356772216</v>
      </c>
      <c r="D389" s="102">
        <v>0.18500819625108322</v>
      </c>
    </row>
    <row r="390" spans="2:4" x14ac:dyDescent="0.25">
      <c r="B390" s="61">
        <v>357</v>
      </c>
      <c r="C390" s="61">
        <v>216237.19477225293</v>
      </c>
      <c r="D390" s="102">
        <v>0.3273824658067459</v>
      </c>
    </row>
    <row r="391" spans="2:4" x14ac:dyDescent="0.25">
      <c r="B391" s="61">
        <v>358</v>
      </c>
      <c r="C391" s="61">
        <v>75013.300268820196</v>
      </c>
      <c r="D391" s="102">
        <v>0.11804787455084753</v>
      </c>
    </row>
    <row r="392" spans="2:4" x14ac:dyDescent="0.25">
      <c r="B392" s="61">
        <v>359</v>
      </c>
      <c r="C392" s="61">
        <v>141975.53990080458</v>
      </c>
      <c r="D392" s="102">
        <v>0.15931039603461516</v>
      </c>
    </row>
    <row r="393" spans="2:4" x14ac:dyDescent="0.25">
      <c r="B393" s="61">
        <v>360</v>
      </c>
      <c r="C393" s="61">
        <v>-49407.834380810789</v>
      </c>
      <c r="D393" s="102">
        <v>6.4361344605865511E-3</v>
      </c>
    </row>
    <row r="394" spans="2:4" x14ac:dyDescent="0.25">
      <c r="B394" s="61">
        <v>361</v>
      </c>
      <c r="C394" s="61">
        <v>226821.01499461883</v>
      </c>
      <c r="D394" s="102">
        <v>0.23663365506326794</v>
      </c>
    </row>
    <row r="395" spans="2:4" x14ac:dyDescent="0.25">
      <c r="B395" s="61">
        <v>362</v>
      </c>
      <c r="C395" s="61">
        <v>330672.88024161523</v>
      </c>
      <c r="D395" s="102">
        <v>0.28890708259217579</v>
      </c>
    </row>
    <row r="396" spans="2:4" x14ac:dyDescent="0.25">
      <c r="B396" s="61">
        <v>363</v>
      </c>
      <c r="C396" s="61">
        <v>311635.33592666034</v>
      </c>
      <c r="D396" s="102">
        <v>0.29751412559012747</v>
      </c>
    </row>
    <row r="397" spans="2:4" x14ac:dyDescent="0.25">
      <c r="B397" s="61">
        <v>364</v>
      </c>
      <c r="C397" s="61">
        <v>333873.90826042858</v>
      </c>
      <c r="D397" s="102">
        <v>0.2845824252639253</v>
      </c>
    </row>
    <row r="398" spans="2:4" x14ac:dyDescent="0.25">
      <c r="B398" s="61">
        <v>365</v>
      </c>
      <c r="C398" s="61">
        <v>95791.580204083933</v>
      </c>
      <c r="D398" s="102">
        <v>0.14449506685997626</v>
      </c>
    </row>
    <row r="399" spans="2:4" x14ac:dyDescent="0.25">
      <c r="B399" s="61">
        <v>366</v>
      </c>
      <c r="C399" s="61">
        <v>378796.32831462624</v>
      </c>
      <c r="D399" s="102">
        <v>0.30399449576209658</v>
      </c>
    </row>
    <row r="400" spans="2:4" x14ac:dyDescent="0.25">
      <c r="B400" s="61">
        <v>367</v>
      </c>
      <c r="C400" s="61">
        <v>271674.41393133404</v>
      </c>
      <c r="D400" s="102">
        <v>0.27827565840200541</v>
      </c>
    </row>
    <row r="401" spans="2:4" x14ac:dyDescent="0.25">
      <c r="B401" s="61">
        <v>368</v>
      </c>
      <c r="C401" s="61">
        <v>376925.46688781853</v>
      </c>
      <c r="D401" s="102">
        <v>0.30541059626932721</v>
      </c>
    </row>
    <row r="402" spans="2:4" x14ac:dyDescent="0.25">
      <c r="B402" s="61">
        <v>369</v>
      </c>
      <c r="C402" s="61">
        <v>215745.95091849065</v>
      </c>
      <c r="D402" s="102">
        <v>0.21745689811986813</v>
      </c>
    </row>
    <row r="403" spans="2:4" x14ac:dyDescent="0.25">
      <c r="B403" s="61">
        <v>370</v>
      </c>
      <c r="C403" s="61">
        <v>157674.23587462684</v>
      </c>
      <c r="D403" s="102">
        <v>0.20469901856930206</v>
      </c>
    </row>
    <row r="404" spans="2:4" x14ac:dyDescent="0.25">
      <c r="B404" s="61">
        <v>371</v>
      </c>
      <c r="C404" s="61">
        <v>250125.11512609082</v>
      </c>
      <c r="D404" s="102">
        <v>0.26381815931271158</v>
      </c>
    </row>
    <row r="405" spans="2:4" x14ac:dyDescent="0.25">
      <c r="B405" s="61">
        <v>372</v>
      </c>
      <c r="C405" s="61">
        <v>172036.05622240936</v>
      </c>
      <c r="D405" s="102">
        <v>0.19769176913586195</v>
      </c>
    </row>
    <row r="406" spans="2:4" x14ac:dyDescent="0.25">
      <c r="B406" s="61">
        <v>373</v>
      </c>
      <c r="C406" s="61">
        <v>389074.09714205062</v>
      </c>
      <c r="D406" s="102">
        <v>0.4103087952174802</v>
      </c>
    </row>
    <row r="407" spans="2:4" x14ac:dyDescent="0.25">
      <c r="B407" s="61">
        <v>374</v>
      </c>
      <c r="C407" s="61">
        <v>184853.86584785127</v>
      </c>
      <c r="D407" s="102">
        <v>0.23707710807319948</v>
      </c>
    </row>
    <row r="408" spans="2:4" x14ac:dyDescent="0.25">
      <c r="B408" s="61">
        <v>375</v>
      </c>
      <c r="C408" s="61">
        <v>285198.45114817575</v>
      </c>
      <c r="D408" s="102">
        <v>0.2977213348900678</v>
      </c>
    </row>
    <row r="409" spans="2:4" x14ac:dyDescent="0.25">
      <c r="B409" s="61">
        <v>376</v>
      </c>
      <c r="C409" s="61">
        <v>316832.7676683449</v>
      </c>
      <c r="D409" s="102">
        <v>0.41167180598319608</v>
      </c>
    </row>
    <row r="410" spans="2:4" x14ac:dyDescent="0.25">
      <c r="B410" s="61">
        <v>377</v>
      </c>
      <c r="C410" s="61">
        <v>43162.744017611141</v>
      </c>
      <c r="D410" s="102">
        <v>0.10139884743911431</v>
      </c>
    </row>
    <row r="411" spans="2:4" x14ac:dyDescent="0.25">
      <c r="B411" s="61">
        <v>378</v>
      </c>
      <c r="C411" s="61">
        <v>356791.04855634947</v>
      </c>
      <c r="D411" s="102">
        <v>0.31063362861408339</v>
      </c>
    </row>
    <row r="412" spans="2:4" x14ac:dyDescent="0.25">
      <c r="B412" s="61">
        <v>379</v>
      </c>
      <c r="C412" s="61">
        <v>138460.58613219456</v>
      </c>
      <c r="D412" s="102">
        <v>0.18414653463758945</v>
      </c>
    </row>
    <row r="413" spans="2:4" x14ac:dyDescent="0.25">
      <c r="B413" s="61">
        <v>380</v>
      </c>
      <c r="C413" s="61">
        <v>257690.96785611822</v>
      </c>
      <c r="D413" s="102">
        <v>0.26421864424827723</v>
      </c>
    </row>
    <row r="414" spans="2:4" x14ac:dyDescent="0.25">
      <c r="B414" s="61">
        <v>381</v>
      </c>
      <c r="C414" s="61">
        <v>182642.96458720125</v>
      </c>
      <c r="D414" s="102">
        <v>0.17776565361341778</v>
      </c>
    </row>
    <row r="415" spans="2:4" x14ac:dyDescent="0.25">
      <c r="B415" s="61">
        <v>382</v>
      </c>
      <c r="C415" s="61">
        <v>493455.90841543686</v>
      </c>
      <c r="D415" s="102">
        <v>0.40387366838448457</v>
      </c>
    </row>
    <row r="416" spans="2:4" x14ac:dyDescent="0.25">
      <c r="B416" s="61">
        <v>383</v>
      </c>
      <c r="C416" s="61">
        <v>-3402.6020389730111</v>
      </c>
      <c r="D416" s="102">
        <v>6.0514983762703034E-2</v>
      </c>
    </row>
    <row r="417" spans="2:4" x14ac:dyDescent="0.25">
      <c r="B417" s="61">
        <v>384</v>
      </c>
      <c r="C417" s="61">
        <v>210047.75269662577</v>
      </c>
      <c r="D417" s="102">
        <v>0.2103655973831946</v>
      </c>
    </row>
    <row r="418" spans="2:4" x14ac:dyDescent="0.25">
      <c r="B418" s="61">
        <v>385</v>
      </c>
      <c r="C418" s="61">
        <v>61433.255383523938</v>
      </c>
      <c r="D418" s="102">
        <v>0.11449110553698794</v>
      </c>
    </row>
    <row r="419" spans="2:4" x14ac:dyDescent="0.25">
      <c r="B419" s="61">
        <v>386</v>
      </c>
      <c r="C419" s="61">
        <v>152833.99030868459</v>
      </c>
      <c r="D419" s="102">
        <v>0.17845131971857109</v>
      </c>
    </row>
    <row r="420" spans="2:4" x14ac:dyDescent="0.25">
      <c r="B420" s="61">
        <v>387</v>
      </c>
      <c r="C420" s="61">
        <v>150268.17084585893</v>
      </c>
      <c r="D420" s="102">
        <v>0.18822408377946798</v>
      </c>
    </row>
    <row r="421" spans="2:4" x14ac:dyDescent="0.25">
      <c r="B421" s="61">
        <v>388</v>
      </c>
      <c r="C421" s="61">
        <v>267180.98389363196</v>
      </c>
      <c r="D421" s="102">
        <v>0.31046604334114747</v>
      </c>
    </row>
    <row r="422" spans="2:4" x14ac:dyDescent="0.25">
      <c r="B422" s="61">
        <v>389</v>
      </c>
      <c r="C422" s="61">
        <v>345675.26187970152</v>
      </c>
      <c r="D422" s="102">
        <v>0.31936294422469946</v>
      </c>
    </row>
    <row r="423" spans="2:4" x14ac:dyDescent="0.25">
      <c r="B423" s="61">
        <v>390</v>
      </c>
      <c r="C423" s="61">
        <v>216939.98225584382</v>
      </c>
      <c r="D423" s="102">
        <v>0.24205672660903099</v>
      </c>
    </row>
    <row r="424" spans="2:4" x14ac:dyDescent="0.25">
      <c r="B424" s="61">
        <v>391</v>
      </c>
      <c r="C424" s="61">
        <v>43251.997555655485</v>
      </c>
      <c r="D424" s="102">
        <v>0.10116517569812444</v>
      </c>
    </row>
    <row r="425" spans="2:4" x14ac:dyDescent="0.25">
      <c r="B425" s="61">
        <v>392</v>
      </c>
      <c r="C425" s="61">
        <v>65808.815408789378</v>
      </c>
      <c r="D425" s="102">
        <v>0.1168758402178478</v>
      </c>
    </row>
    <row r="426" spans="2:4" x14ac:dyDescent="0.25">
      <c r="B426" s="61">
        <v>393</v>
      </c>
      <c r="C426" s="61">
        <v>365202.16715609317</v>
      </c>
      <c r="D426" s="102">
        <v>0.32801817302477665</v>
      </c>
    </row>
    <row r="427" spans="2:4" x14ac:dyDescent="0.25">
      <c r="B427" s="61">
        <v>394</v>
      </c>
      <c r="C427" s="61">
        <v>16892.993467505963</v>
      </c>
      <c r="D427" s="102">
        <v>8.4466838539629219E-2</v>
      </c>
    </row>
    <row r="428" spans="2:4" x14ac:dyDescent="0.25">
      <c r="B428" s="61">
        <v>395</v>
      </c>
      <c r="C428" s="61">
        <v>323689.107249205</v>
      </c>
      <c r="D428" s="102">
        <v>0.33666650349569416</v>
      </c>
    </row>
    <row r="429" spans="2:4" x14ac:dyDescent="0.25">
      <c r="B429" s="61">
        <v>396</v>
      </c>
      <c r="C429" s="61">
        <v>15836.067725945788</v>
      </c>
      <c r="D429" s="102">
        <v>7.7692673250231215E-2</v>
      </c>
    </row>
    <row r="430" spans="2:4" x14ac:dyDescent="0.25">
      <c r="B430" s="61">
        <v>397</v>
      </c>
      <c r="C430" s="61">
        <v>26268.19674187497</v>
      </c>
      <c r="D430" s="102">
        <v>8.1699310608811082E-2</v>
      </c>
    </row>
    <row r="431" spans="2:4" x14ac:dyDescent="0.25">
      <c r="B431" s="61">
        <v>398</v>
      </c>
      <c r="C431" s="61">
        <v>250785.53948575992</v>
      </c>
      <c r="D431" s="102">
        <v>0.27846987399514855</v>
      </c>
    </row>
    <row r="432" spans="2:4" x14ac:dyDescent="0.25">
      <c r="B432" s="61">
        <v>399</v>
      </c>
      <c r="C432" s="61">
        <v>130068.92290855339</v>
      </c>
      <c r="D432" s="102">
        <v>0.19842682059232586</v>
      </c>
    </row>
    <row r="433" spans="2:4" x14ac:dyDescent="0.25">
      <c r="B433" s="61">
        <v>400</v>
      </c>
      <c r="C433" s="61">
        <v>190177.92222810723</v>
      </c>
      <c r="D433" s="102">
        <v>0.26680552186909945</v>
      </c>
    </row>
    <row r="434" spans="2:4" x14ac:dyDescent="0.25">
      <c r="B434" s="61">
        <v>401</v>
      </c>
      <c r="C434" s="61">
        <v>334322.75569489598</v>
      </c>
      <c r="D434" s="102">
        <v>0.34655607647858377</v>
      </c>
    </row>
    <row r="435" spans="2:4" x14ac:dyDescent="0.25">
      <c r="B435" s="61">
        <v>402</v>
      </c>
      <c r="C435" s="61">
        <v>413684.12663894857</v>
      </c>
      <c r="D435" s="102">
        <v>0.40280796837649557</v>
      </c>
    </row>
    <row r="436" spans="2:4" x14ac:dyDescent="0.25">
      <c r="B436" s="61">
        <v>403</v>
      </c>
      <c r="C436" s="61">
        <v>244735.11545774306</v>
      </c>
      <c r="D436" s="102">
        <v>0.24450511448158019</v>
      </c>
    </row>
    <row r="437" spans="2:4" x14ac:dyDescent="0.25">
      <c r="B437" s="61">
        <v>404</v>
      </c>
      <c r="C437" s="61">
        <v>209980.33149825095</v>
      </c>
      <c r="D437" s="102">
        <v>0.18100062684207785</v>
      </c>
    </row>
    <row r="438" spans="2:4" x14ac:dyDescent="0.25">
      <c r="B438" s="61">
        <v>405</v>
      </c>
      <c r="C438" s="61">
        <v>368644.02282418706</v>
      </c>
      <c r="D438" s="102">
        <v>0.31354502484507973</v>
      </c>
    </row>
    <row r="439" spans="2:4" x14ac:dyDescent="0.25">
      <c r="B439" s="61">
        <v>406</v>
      </c>
      <c r="C439" s="61">
        <v>468054.85936737503</v>
      </c>
      <c r="D439" s="102">
        <v>0.40706615054603401</v>
      </c>
    </row>
    <row r="440" spans="2:4" x14ac:dyDescent="0.25">
      <c r="B440" s="61">
        <v>407</v>
      </c>
      <c r="C440" s="61">
        <v>294221.89740859391</v>
      </c>
      <c r="D440" s="102">
        <v>0.27934485412056453</v>
      </c>
    </row>
    <row r="441" spans="2:4" x14ac:dyDescent="0.25">
      <c r="B441" s="61">
        <v>408</v>
      </c>
      <c r="C441" s="61">
        <v>264409.34195095045</v>
      </c>
      <c r="D441" s="102">
        <v>0.26899788034078909</v>
      </c>
    </row>
    <row r="442" spans="2:4" x14ac:dyDescent="0.25">
      <c r="B442" s="61">
        <v>409</v>
      </c>
      <c r="C442" s="61">
        <v>264936.10886074801</v>
      </c>
      <c r="D442" s="102">
        <v>0.29907700130498882</v>
      </c>
    </row>
    <row r="443" spans="2:4" x14ac:dyDescent="0.25">
      <c r="B443" s="61">
        <v>410</v>
      </c>
      <c r="C443" s="61">
        <v>201602.77438592585</v>
      </c>
      <c r="D443" s="102">
        <v>0.26895809005887394</v>
      </c>
    </row>
    <row r="444" spans="2:4" x14ac:dyDescent="0.25">
      <c r="B444" s="61">
        <v>411</v>
      </c>
      <c r="C444" s="61">
        <v>224601.86694349977</v>
      </c>
      <c r="D444" s="102">
        <v>0.22675706493966419</v>
      </c>
    </row>
    <row r="445" spans="2:4" x14ac:dyDescent="0.25">
      <c r="B445" s="61">
        <v>412</v>
      </c>
      <c r="C445" s="61">
        <v>433859.62344909215</v>
      </c>
      <c r="D445" s="102">
        <v>0.46810023307566273</v>
      </c>
    </row>
    <row r="446" spans="2:4" x14ac:dyDescent="0.25">
      <c r="B446" s="61">
        <v>413</v>
      </c>
      <c r="C446" s="61">
        <v>211066.45250091481</v>
      </c>
      <c r="D446" s="102">
        <v>0.2532294145285241</v>
      </c>
    </row>
    <row r="447" spans="2:4" x14ac:dyDescent="0.25">
      <c r="B447" s="61">
        <v>414</v>
      </c>
      <c r="C447" s="61">
        <v>144736.30635120877</v>
      </c>
      <c r="D447" s="102">
        <v>0.20021338296181868</v>
      </c>
    </row>
    <row r="448" spans="2:4" x14ac:dyDescent="0.25">
      <c r="B448" s="61">
        <v>415</v>
      </c>
      <c r="C448" s="61">
        <v>284438.36682674172</v>
      </c>
      <c r="D448" s="102">
        <v>0.28506377789189385</v>
      </c>
    </row>
    <row r="449" spans="2:4" x14ac:dyDescent="0.25">
      <c r="B449" s="61">
        <v>416</v>
      </c>
      <c r="C449" s="61">
        <v>407544.48951246624</v>
      </c>
      <c r="D449" s="102">
        <v>0.30193394710146682</v>
      </c>
    </row>
    <row r="450" spans="2:4" x14ac:dyDescent="0.25">
      <c r="B450" s="61">
        <v>417</v>
      </c>
      <c r="C450" s="61">
        <v>454962.67341287702</v>
      </c>
      <c r="D450" s="102">
        <v>0.38722059535813624</v>
      </c>
    </row>
    <row r="451" spans="2:4" x14ac:dyDescent="0.25">
      <c r="B451" s="61">
        <v>418</v>
      </c>
      <c r="C451" s="61">
        <v>100223.00223893387</v>
      </c>
      <c r="D451" s="102">
        <v>0.13631383650912943</v>
      </c>
    </row>
    <row r="452" spans="2:4" x14ac:dyDescent="0.25">
      <c r="B452" s="61">
        <v>419</v>
      </c>
      <c r="C452" s="61">
        <v>361255.15325174062</v>
      </c>
      <c r="D452" s="102">
        <v>0.31811365308993711</v>
      </c>
    </row>
    <row r="453" spans="2:4" x14ac:dyDescent="0.25">
      <c r="B453" s="61">
        <v>420</v>
      </c>
      <c r="C453" s="61">
        <v>449001.87489251362</v>
      </c>
      <c r="D453" s="102">
        <v>0.4076805281563487</v>
      </c>
    </row>
    <row r="454" spans="2:4" x14ac:dyDescent="0.25">
      <c r="B454" s="61">
        <v>421</v>
      </c>
      <c r="C454" s="61">
        <v>29750.774216838938</v>
      </c>
      <c r="D454" s="102">
        <v>8.6282007153585027E-2</v>
      </c>
    </row>
    <row r="455" spans="2:4" x14ac:dyDescent="0.25">
      <c r="B455" s="61">
        <v>422</v>
      </c>
      <c r="C455" s="61">
        <v>203523.95969202649</v>
      </c>
      <c r="D455" s="102">
        <v>0.2491076575522706</v>
      </c>
    </row>
    <row r="456" spans="2:4" x14ac:dyDescent="0.25">
      <c r="B456" s="61">
        <v>423</v>
      </c>
      <c r="C456" s="61">
        <v>238133.43441943964</v>
      </c>
      <c r="D456" s="102">
        <v>0.27212078984100874</v>
      </c>
    </row>
    <row r="457" spans="2:4" x14ac:dyDescent="0.25">
      <c r="B457" s="61">
        <v>424</v>
      </c>
      <c r="C457" s="61">
        <v>254738.71395111969</v>
      </c>
      <c r="D457" s="102">
        <v>0.2276401389540792</v>
      </c>
    </row>
    <row r="458" spans="2:4" x14ac:dyDescent="0.25">
      <c r="B458" s="61">
        <v>425</v>
      </c>
      <c r="C458" s="61">
        <v>427044.08445852064</v>
      </c>
      <c r="D458" s="102">
        <v>0.47128872526325249</v>
      </c>
    </row>
    <row r="459" spans="2:4" x14ac:dyDescent="0.25">
      <c r="B459" s="61">
        <v>426</v>
      </c>
      <c r="C459" s="61">
        <v>476885.80812428892</v>
      </c>
      <c r="D459" s="102">
        <v>0.38534863419678422</v>
      </c>
    </row>
    <row r="460" spans="2:4" x14ac:dyDescent="0.25">
      <c r="B460" s="61">
        <v>427</v>
      </c>
      <c r="C460" s="61">
        <v>314227.29533126799</v>
      </c>
      <c r="D460" s="102">
        <v>0.30698755343251438</v>
      </c>
    </row>
    <row r="461" spans="2:4" x14ac:dyDescent="0.25">
      <c r="B461" s="61">
        <v>428</v>
      </c>
      <c r="C461" s="61">
        <v>227987.00397848303</v>
      </c>
      <c r="D461" s="102">
        <v>0.2802383607353085</v>
      </c>
    </row>
    <row r="462" spans="2:4" x14ac:dyDescent="0.25">
      <c r="B462" s="61">
        <v>429</v>
      </c>
      <c r="C462" s="61">
        <v>126675.86081363581</v>
      </c>
      <c r="D462" s="102">
        <v>0.1926651608383898</v>
      </c>
    </row>
    <row r="463" spans="2:4" x14ac:dyDescent="0.25">
      <c r="B463" s="61">
        <v>430</v>
      </c>
      <c r="C463" s="61">
        <v>238563.50744607742</v>
      </c>
      <c r="D463" s="102">
        <v>0.34293101188627784</v>
      </c>
    </row>
    <row r="464" spans="2:4" x14ac:dyDescent="0.25">
      <c r="B464" s="61">
        <v>431</v>
      </c>
      <c r="C464" s="61">
        <v>488920.24773066305</v>
      </c>
      <c r="D464" s="102">
        <v>0.40392932736879716</v>
      </c>
    </row>
    <row r="465" spans="2:4" x14ac:dyDescent="0.25">
      <c r="B465" s="61">
        <v>432</v>
      </c>
      <c r="C465" s="61">
        <v>413344.05122576363</v>
      </c>
      <c r="D465" s="102">
        <v>0.3518780291629664</v>
      </c>
    </row>
    <row r="466" spans="2:4" x14ac:dyDescent="0.25">
      <c r="B466" s="61">
        <v>433</v>
      </c>
      <c r="C466" s="61">
        <v>468681.5828735223</v>
      </c>
      <c r="D466" s="102">
        <v>0.3871346201922008</v>
      </c>
    </row>
    <row r="467" spans="2:4" x14ac:dyDescent="0.25">
      <c r="B467" s="61">
        <v>434</v>
      </c>
      <c r="C467" s="61">
        <v>208367.45942608442</v>
      </c>
      <c r="D467" s="102">
        <v>0.22367427011502761</v>
      </c>
    </row>
    <row r="468" spans="2:4" x14ac:dyDescent="0.25">
      <c r="B468" s="61">
        <v>435</v>
      </c>
      <c r="C468" s="61">
        <v>259358.41244964453</v>
      </c>
      <c r="D468" s="102">
        <v>0.26593874221371117</v>
      </c>
    </row>
    <row r="469" spans="2:4" x14ac:dyDescent="0.25">
      <c r="B469" s="61">
        <v>436</v>
      </c>
      <c r="C469" s="61">
        <v>98030.969030666864</v>
      </c>
      <c r="D469" s="102">
        <v>0.13613988886500961</v>
      </c>
    </row>
    <row r="470" spans="2:4" x14ac:dyDescent="0.25">
      <c r="B470" s="61">
        <v>437</v>
      </c>
      <c r="C470" s="61">
        <v>201257.07530761359</v>
      </c>
      <c r="D470" s="102">
        <v>0.2528535754301664</v>
      </c>
    </row>
    <row r="471" spans="2:4" x14ac:dyDescent="0.25">
      <c r="B471" s="61">
        <v>438</v>
      </c>
      <c r="C471" s="61">
        <v>425694.77032327617</v>
      </c>
      <c r="D471" s="102">
        <v>0.36574777340688147</v>
      </c>
    </row>
    <row r="472" spans="2:4" x14ac:dyDescent="0.25">
      <c r="B472" s="61">
        <v>439</v>
      </c>
      <c r="C472" s="61">
        <v>433471.70850367227</v>
      </c>
      <c r="D472" s="102">
        <v>0.39947657221880561</v>
      </c>
    </row>
    <row r="473" spans="2:4" x14ac:dyDescent="0.25">
      <c r="B473" s="61">
        <v>440</v>
      </c>
      <c r="C473" s="61">
        <v>38760.580466399319</v>
      </c>
      <c r="D473" s="102">
        <v>9.6985817137468455E-2</v>
      </c>
    </row>
    <row r="474" spans="2:4" x14ac:dyDescent="0.25">
      <c r="B474" s="61">
        <v>441</v>
      </c>
      <c r="C474" s="61">
        <v>290312.00798307045</v>
      </c>
      <c r="D474" s="102">
        <v>0.28304139797866923</v>
      </c>
    </row>
    <row r="475" spans="2:4" x14ac:dyDescent="0.25">
      <c r="B475" s="61">
        <v>442</v>
      </c>
      <c r="C475" s="61">
        <v>155319.77804441011</v>
      </c>
      <c r="D475" s="102">
        <v>0.19181796783000182</v>
      </c>
    </row>
    <row r="476" spans="2:4" x14ac:dyDescent="0.25">
      <c r="B476" s="61">
        <v>443</v>
      </c>
      <c r="C476" s="61">
        <v>59890.643494125339</v>
      </c>
      <c r="D476" s="102">
        <v>0.11692750469309066</v>
      </c>
    </row>
    <row r="477" spans="2:4" x14ac:dyDescent="0.25">
      <c r="B477" s="61">
        <v>444</v>
      </c>
      <c r="C477" s="61">
        <v>398936.05162132392</v>
      </c>
      <c r="D477" s="102">
        <v>0.41228522794119726</v>
      </c>
    </row>
    <row r="478" spans="2:4" x14ac:dyDescent="0.25">
      <c r="B478" s="61">
        <v>445</v>
      </c>
      <c r="C478" s="61">
        <v>342523.51739123813</v>
      </c>
      <c r="D478" s="102">
        <v>0.38612669950960021</v>
      </c>
    </row>
    <row r="479" spans="2:4" x14ac:dyDescent="0.25">
      <c r="B479" s="61">
        <v>446</v>
      </c>
      <c r="C479" s="61">
        <v>370730.3164425221</v>
      </c>
      <c r="D479" s="102">
        <v>0.40565175419330357</v>
      </c>
    </row>
    <row r="480" spans="2:4" x14ac:dyDescent="0.25">
      <c r="B480" s="61">
        <v>447</v>
      </c>
      <c r="C480" s="61">
        <v>236486.40944825113</v>
      </c>
      <c r="D480" s="102">
        <v>0.23995390564792962</v>
      </c>
    </row>
    <row r="481" spans="2:4" x14ac:dyDescent="0.25">
      <c r="B481" s="61">
        <v>448</v>
      </c>
      <c r="C481" s="61">
        <v>165287.78891311202</v>
      </c>
      <c r="D481" s="102">
        <v>0.20175192212461313</v>
      </c>
    </row>
    <row r="482" spans="2:4" x14ac:dyDescent="0.25">
      <c r="B482" s="61">
        <v>449</v>
      </c>
      <c r="C482" s="61">
        <v>229709.19667024538</v>
      </c>
      <c r="D482" s="102">
        <v>0.3342312735380466</v>
      </c>
    </row>
    <row r="483" spans="2:4" x14ac:dyDescent="0.25">
      <c r="B483" s="61">
        <v>450</v>
      </c>
      <c r="C483" s="61">
        <v>238971.53992067953</v>
      </c>
      <c r="D483" s="102">
        <v>0.32713727828456141</v>
      </c>
    </row>
    <row r="484" spans="2:4" x14ac:dyDescent="0.25">
      <c r="B484" s="61">
        <v>451</v>
      </c>
      <c r="C484" s="61">
        <v>344217.33947384381</v>
      </c>
      <c r="D484" s="102">
        <v>0.31713354309314323</v>
      </c>
    </row>
    <row r="485" spans="2:4" x14ac:dyDescent="0.25">
      <c r="B485" s="61">
        <v>452</v>
      </c>
      <c r="C485" s="61">
        <v>305037.46480474039</v>
      </c>
      <c r="D485" s="102">
        <v>0.31319657167670467</v>
      </c>
    </row>
    <row r="486" spans="2:4" x14ac:dyDescent="0.25">
      <c r="B486" s="61">
        <v>453</v>
      </c>
      <c r="C486" s="61">
        <v>263881.93029009108</v>
      </c>
      <c r="D486" s="102">
        <v>0.26767436296410163</v>
      </c>
    </row>
    <row r="487" spans="2:4" x14ac:dyDescent="0.25">
      <c r="B487" s="61">
        <v>454</v>
      </c>
      <c r="C487" s="61">
        <v>140151.55143774825</v>
      </c>
      <c r="D487" s="102">
        <v>0.19384094980247069</v>
      </c>
    </row>
    <row r="488" spans="2:4" x14ac:dyDescent="0.25">
      <c r="B488" s="61">
        <v>455</v>
      </c>
      <c r="C488" s="61">
        <v>129829.72449414537</v>
      </c>
      <c r="D488" s="102">
        <v>0.18794603026480772</v>
      </c>
    </row>
    <row r="489" spans="2:4" x14ac:dyDescent="0.25">
      <c r="B489" s="61">
        <v>456</v>
      </c>
      <c r="C489" s="61">
        <v>-78552.748761083523</v>
      </c>
      <c r="D489" s="102">
        <v>-3.9509948376996507E-2</v>
      </c>
    </row>
    <row r="490" spans="2:4" x14ac:dyDescent="0.25">
      <c r="B490" s="61">
        <v>457</v>
      </c>
      <c r="C490" s="61">
        <v>352316.58625156304</v>
      </c>
      <c r="D490" s="102">
        <v>0.36945154041278916</v>
      </c>
    </row>
    <row r="491" spans="2:4" x14ac:dyDescent="0.25">
      <c r="B491" s="61">
        <v>458</v>
      </c>
      <c r="C491" s="61">
        <v>13492.562215087062</v>
      </c>
      <c r="D491" s="102">
        <v>7.426677401098658E-2</v>
      </c>
    </row>
    <row r="492" spans="2:4" x14ac:dyDescent="0.25">
      <c r="B492" s="61">
        <v>459</v>
      </c>
      <c r="C492" s="61">
        <v>262101.26047450933</v>
      </c>
      <c r="D492" s="102">
        <v>0.25038042456487153</v>
      </c>
    </row>
    <row r="493" spans="2:4" x14ac:dyDescent="0.25">
      <c r="B493" s="61">
        <v>460</v>
      </c>
      <c r="C493" s="61">
        <v>253860.67238848284</v>
      </c>
      <c r="D493" s="102">
        <v>0.2723378091746238</v>
      </c>
    </row>
    <row r="494" spans="2:4" x14ac:dyDescent="0.25">
      <c r="B494" s="61">
        <v>461</v>
      </c>
      <c r="C494" s="61">
        <v>128531.55781654792</v>
      </c>
      <c r="D494" s="102">
        <v>0.16150108669445884</v>
      </c>
    </row>
    <row r="495" spans="2:4" x14ac:dyDescent="0.25">
      <c r="B495" s="61">
        <v>462</v>
      </c>
      <c r="C495" s="61">
        <v>298290.6901980883</v>
      </c>
      <c r="D495" s="102">
        <v>0.302983640865369</v>
      </c>
    </row>
    <row r="496" spans="2:4" x14ac:dyDescent="0.25">
      <c r="B496" s="61">
        <v>463</v>
      </c>
      <c r="C496" s="61">
        <v>15847.367429674312</v>
      </c>
      <c r="D496" s="102">
        <v>8.0193318948428294E-2</v>
      </c>
    </row>
    <row r="497" spans="2:4" x14ac:dyDescent="0.25">
      <c r="B497" s="61">
        <v>464</v>
      </c>
      <c r="C497" s="61">
        <v>-4949.6964776944951</v>
      </c>
      <c r="D497" s="102">
        <v>5.9872396246682724E-2</v>
      </c>
    </row>
    <row r="498" spans="2:4" x14ac:dyDescent="0.25">
      <c r="B498" s="61">
        <v>465</v>
      </c>
      <c r="C498" s="61">
        <v>207552.35548930033</v>
      </c>
      <c r="D498" s="102">
        <v>0.19732170760967671</v>
      </c>
    </row>
    <row r="499" spans="2:4" x14ac:dyDescent="0.25">
      <c r="B499" s="61">
        <v>466</v>
      </c>
      <c r="C499" s="61">
        <v>223614.58114814968</v>
      </c>
      <c r="D499" s="102">
        <v>0.25823960588319217</v>
      </c>
    </row>
    <row r="500" spans="2:4" x14ac:dyDescent="0.25">
      <c r="B500" s="61">
        <v>467</v>
      </c>
      <c r="C500" s="61">
        <v>196873.26720495173</v>
      </c>
      <c r="D500" s="102">
        <v>0.2282949821247906</v>
      </c>
    </row>
    <row r="501" spans="2:4" x14ac:dyDescent="0.25">
      <c r="B501" s="61">
        <v>468</v>
      </c>
      <c r="C501" s="61">
        <v>344593.99959086441</v>
      </c>
      <c r="D501" s="102">
        <v>0.28358718961165841</v>
      </c>
    </row>
    <row r="502" spans="2:4" x14ac:dyDescent="0.25">
      <c r="B502" s="61">
        <v>469</v>
      </c>
      <c r="C502" s="61">
        <v>288435.12181504315</v>
      </c>
      <c r="D502" s="102">
        <v>0.31425964489643587</v>
      </c>
    </row>
    <row r="503" spans="2:4" x14ac:dyDescent="0.25">
      <c r="B503" s="61">
        <v>470</v>
      </c>
      <c r="C503" s="61">
        <v>380301.38247373782</v>
      </c>
      <c r="D503" s="102">
        <v>0.36908308081276586</v>
      </c>
    </row>
    <row r="504" spans="2:4" x14ac:dyDescent="0.25">
      <c r="B504" s="61">
        <v>471</v>
      </c>
      <c r="C504" s="61">
        <v>220473.88134333177</v>
      </c>
      <c r="D504" s="102">
        <v>0.25545953691900736</v>
      </c>
    </row>
    <row r="505" spans="2:4" x14ac:dyDescent="0.25">
      <c r="B505" s="61">
        <v>472</v>
      </c>
      <c r="C505" s="61">
        <v>293790.82574207406</v>
      </c>
      <c r="D505" s="102">
        <v>0.29734658213625753</v>
      </c>
    </row>
    <row r="506" spans="2:4" x14ac:dyDescent="0.25">
      <c r="B506" s="61">
        <v>473</v>
      </c>
      <c r="C506" s="61">
        <v>315524.42860827327</v>
      </c>
      <c r="D506" s="102">
        <v>0.29243527790515289</v>
      </c>
    </row>
    <row r="507" spans="2:4" x14ac:dyDescent="0.25">
      <c r="B507" s="61">
        <v>474</v>
      </c>
      <c r="C507" s="61">
        <v>183519.94060068461</v>
      </c>
      <c r="D507" s="102">
        <v>0.20989692600395826</v>
      </c>
    </row>
    <row r="508" spans="2:4" x14ac:dyDescent="0.25">
      <c r="B508" s="61">
        <v>475</v>
      </c>
      <c r="C508" s="61">
        <v>267952.13381130795</v>
      </c>
      <c r="D508" s="102">
        <v>0.28529187125716127</v>
      </c>
    </row>
    <row r="509" spans="2:4" x14ac:dyDescent="0.25">
      <c r="B509" s="61">
        <v>476</v>
      </c>
      <c r="C509" s="61">
        <v>73144.180519133108</v>
      </c>
      <c r="D509" s="102">
        <v>0.11790531532526805</v>
      </c>
    </row>
    <row r="510" spans="2:4" x14ac:dyDescent="0.25">
      <c r="B510" s="61">
        <v>477</v>
      </c>
      <c r="C510" s="61">
        <v>271749.00477701961</v>
      </c>
      <c r="D510" s="102">
        <v>0.26898521039514134</v>
      </c>
    </row>
    <row r="511" spans="2:4" x14ac:dyDescent="0.25">
      <c r="B511" s="61">
        <v>478</v>
      </c>
      <c r="C511" s="61">
        <v>168275.31922369555</v>
      </c>
      <c r="D511" s="102">
        <v>0.22510847079994534</v>
      </c>
    </row>
    <row r="512" spans="2:4" x14ac:dyDescent="0.25">
      <c r="B512" s="61">
        <v>479</v>
      </c>
      <c r="C512" s="61">
        <v>85827.434566128184</v>
      </c>
      <c r="D512" s="102">
        <v>0.12979579740242531</v>
      </c>
    </row>
    <row r="513" spans="2:4" x14ac:dyDescent="0.25">
      <c r="B513" s="61">
        <v>480</v>
      </c>
      <c r="C513" s="61">
        <v>55207.731839272077</v>
      </c>
      <c r="D513" s="102">
        <v>0.10372832946024779</v>
      </c>
    </row>
    <row r="514" spans="2:4" x14ac:dyDescent="0.25">
      <c r="B514" s="61">
        <v>481</v>
      </c>
      <c r="C514" s="61">
        <v>332104.10390344064</v>
      </c>
      <c r="D514" s="102">
        <v>0.35907808650200246</v>
      </c>
    </row>
    <row r="515" spans="2:4" x14ac:dyDescent="0.25">
      <c r="B515" s="61">
        <v>482</v>
      </c>
      <c r="C515" s="61">
        <v>112011.24298378028</v>
      </c>
      <c r="D515" s="102">
        <v>0.15650666080354814</v>
      </c>
    </row>
    <row r="516" spans="2:4" x14ac:dyDescent="0.25">
      <c r="B516" s="61">
        <v>483</v>
      </c>
      <c r="C516" s="61">
        <v>350590.0760780744</v>
      </c>
      <c r="D516" s="102">
        <v>0.38775060344448398</v>
      </c>
    </row>
    <row r="517" spans="2:4" x14ac:dyDescent="0.25">
      <c r="B517" s="61">
        <v>484</v>
      </c>
      <c r="C517" s="61">
        <v>267611.85220506089</v>
      </c>
      <c r="D517" s="102">
        <v>0.22176137339076085</v>
      </c>
    </row>
    <row r="518" spans="2:4" x14ac:dyDescent="0.25">
      <c r="B518" s="61">
        <v>485</v>
      </c>
      <c r="C518" s="61">
        <v>278340.67153852119</v>
      </c>
      <c r="D518" s="102">
        <v>0.27831145054981943</v>
      </c>
    </row>
    <row r="519" spans="2:4" x14ac:dyDescent="0.25">
      <c r="B519" s="61">
        <v>486</v>
      </c>
      <c r="C519" s="61">
        <v>275301.96809575206</v>
      </c>
      <c r="D519" s="102">
        <v>0.31845646685767792</v>
      </c>
    </row>
    <row r="520" spans="2:4" x14ac:dyDescent="0.25">
      <c r="B520" s="61">
        <v>487</v>
      </c>
      <c r="C520" s="61">
        <v>281729.82733932685</v>
      </c>
      <c r="D520" s="102">
        <v>0.29670278813961182</v>
      </c>
    </row>
    <row r="521" spans="2:4" x14ac:dyDescent="0.25">
      <c r="B521" s="61">
        <v>488</v>
      </c>
      <c r="C521" s="61">
        <v>296007.27015401633</v>
      </c>
      <c r="D521" s="102">
        <v>0.29471587387960518</v>
      </c>
    </row>
    <row r="522" spans="2:4" x14ac:dyDescent="0.25">
      <c r="B522" s="61">
        <v>489</v>
      </c>
      <c r="C522" s="61">
        <v>79811.431042852462</v>
      </c>
      <c r="D522" s="102">
        <v>0.1264258301873713</v>
      </c>
    </row>
    <row r="523" spans="2:4" x14ac:dyDescent="0.25">
      <c r="B523" s="61">
        <v>490</v>
      </c>
      <c r="C523" s="61">
        <v>108827.60328080022</v>
      </c>
      <c r="D523" s="102">
        <v>0.13935553677540935</v>
      </c>
    </row>
    <row r="524" spans="2:4" x14ac:dyDescent="0.25">
      <c r="B524" s="61">
        <v>491</v>
      </c>
      <c r="C524" s="61">
        <v>-54059.851892391103</v>
      </c>
      <c r="D524" s="102">
        <v>9.9022646884385779E-3</v>
      </c>
    </row>
    <row r="525" spans="2:4" x14ac:dyDescent="0.25">
      <c r="B525" s="61">
        <v>492</v>
      </c>
      <c r="C525" s="61">
        <v>264157.07196244574</v>
      </c>
      <c r="D525" s="102">
        <v>0.32499660245260786</v>
      </c>
    </row>
    <row r="526" spans="2:4" x14ac:dyDescent="0.25">
      <c r="B526" s="61">
        <v>493</v>
      </c>
      <c r="C526" s="61">
        <v>196387.38087761647</v>
      </c>
      <c r="D526" s="102">
        <v>0.20798375631837596</v>
      </c>
    </row>
    <row r="527" spans="2:4" x14ac:dyDescent="0.25">
      <c r="B527" s="61">
        <v>494</v>
      </c>
      <c r="C527" s="61">
        <v>-84447.804532518436</v>
      </c>
      <c r="D527" s="102">
        <v>-1.8912693226339927E-2</v>
      </c>
    </row>
    <row r="528" spans="2:4" x14ac:dyDescent="0.25">
      <c r="B528" s="61">
        <v>495</v>
      </c>
      <c r="C528" s="61">
        <v>324667.2264187464</v>
      </c>
      <c r="D528" s="102">
        <v>0.35902511843867702</v>
      </c>
    </row>
    <row r="529" spans="2:4" x14ac:dyDescent="0.25">
      <c r="B529" s="61">
        <v>496</v>
      </c>
      <c r="C529" s="61">
        <v>57537.642407627893</v>
      </c>
      <c r="D529" s="102">
        <v>0.11870320489477493</v>
      </c>
    </row>
    <row r="530" spans="2:4" x14ac:dyDescent="0.25">
      <c r="B530" s="61">
        <v>497</v>
      </c>
      <c r="C530" s="61">
        <v>244877.26563379273</v>
      </c>
      <c r="D530" s="102">
        <v>0.24229826279320732</v>
      </c>
    </row>
    <row r="531" spans="2:4" x14ac:dyDescent="0.25">
      <c r="B531" s="61">
        <v>498</v>
      </c>
      <c r="C531" s="61">
        <v>198008.15099621448</v>
      </c>
      <c r="D531" s="102">
        <v>0.18812643209502533</v>
      </c>
    </row>
    <row r="532" spans="2:4" x14ac:dyDescent="0.25">
      <c r="B532" s="61">
        <v>499</v>
      </c>
      <c r="C532" s="61">
        <v>246780.55193639325</v>
      </c>
      <c r="D532" s="102">
        <v>0.22119599064520346</v>
      </c>
    </row>
    <row r="533" spans="2:4" x14ac:dyDescent="0.25">
      <c r="B533" s="61">
        <v>500</v>
      </c>
      <c r="C533" s="61">
        <v>282956.60868723434</v>
      </c>
      <c r="D533" s="102">
        <v>0.30461115343423106</v>
      </c>
    </row>
    <row r="534" spans="2:4" x14ac:dyDescent="0.25">
      <c r="B534" s="61">
        <v>501</v>
      </c>
      <c r="C534" s="61">
        <v>262107.67832762585</v>
      </c>
      <c r="D534" s="102">
        <v>0.29022130357224607</v>
      </c>
    </row>
    <row r="535" spans="2:4" x14ac:dyDescent="0.25">
      <c r="B535" s="61">
        <v>502</v>
      </c>
      <c r="C535" s="61">
        <v>454429.73786737316</v>
      </c>
      <c r="D535" s="102">
        <v>0.32925066451325447</v>
      </c>
    </row>
    <row r="536" spans="2:4" x14ac:dyDescent="0.25">
      <c r="B536" s="61">
        <v>503</v>
      </c>
      <c r="C536" s="61">
        <v>171660.98453219188</v>
      </c>
      <c r="D536" s="102">
        <v>0.17268540696763379</v>
      </c>
    </row>
    <row r="537" spans="2:4" x14ac:dyDescent="0.25">
      <c r="B537" s="61">
        <v>504</v>
      </c>
      <c r="C537" s="61">
        <v>208235.64749774348</v>
      </c>
      <c r="D537" s="102">
        <v>0.23012162737977704</v>
      </c>
    </row>
    <row r="538" spans="2:4" x14ac:dyDescent="0.25">
      <c r="B538" s="61">
        <v>505</v>
      </c>
      <c r="C538" s="61">
        <v>388146.58977135387</v>
      </c>
      <c r="D538" s="102">
        <v>0.32616075021018176</v>
      </c>
    </row>
    <row r="539" spans="2:4" x14ac:dyDescent="0.25">
      <c r="B539" s="61">
        <v>506</v>
      </c>
      <c r="C539" s="61">
        <v>392250.03465602454</v>
      </c>
      <c r="D539" s="102">
        <v>0.42349511262271067</v>
      </c>
    </row>
    <row r="540" spans="2:4" x14ac:dyDescent="0.25">
      <c r="B540" s="61">
        <v>507</v>
      </c>
      <c r="C540" s="61">
        <v>458939.34344354877</v>
      </c>
      <c r="D540" s="102">
        <v>0.41501970153710932</v>
      </c>
    </row>
    <row r="541" spans="2:4" x14ac:dyDescent="0.25">
      <c r="B541" s="61">
        <v>508</v>
      </c>
      <c r="C541" s="61">
        <v>237838.44529312849</v>
      </c>
      <c r="D541" s="102">
        <v>0.24125935392430242</v>
      </c>
    </row>
    <row r="542" spans="2:4" x14ac:dyDescent="0.25">
      <c r="B542" s="61">
        <v>509</v>
      </c>
      <c r="C542" s="61">
        <v>398176.05212629621</v>
      </c>
      <c r="D542" s="102">
        <v>0.41746791456171795</v>
      </c>
    </row>
    <row r="543" spans="2:4" x14ac:dyDescent="0.25">
      <c r="B543" s="61">
        <v>510</v>
      </c>
      <c r="C543" s="61">
        <v>423474.27123296761</v>
      </c>
      <c r="D543" s="102">
        <v>0.41833016383173405</v>
      </c>
    </row>
    <row r="544" spans="2:4" x14ac:dyDescent="0.25">
      <c r="B544" s="61">
        <v>511</v>
      </c>
      <c r="C544" s="61">
        <v>446046.29660700844</v>
      </c>
      <c r="D544" s="102">
        <v>0.44789357338034996</v>
      </c>
    </row>
    <row r="545" spans="2:4" x14ac:dyDescent="0.25">
      <c r="B545" s="61">
        <v>512</v>
      </c>
      <c r="C545" s="61">
        <v>322893.47032900772</v>
      </c>
      <c r="D545" s="102">
        <v>0.31627528742932487</v>
      </c>
    </row>
    <row r="546" spans="2:4" x14ac:dyDescent="0.25">
      <c r="B546" s="61">
        <v>513</v>
      </c>
      <c r="C546" s="61">
        <v>277903.27441694995</v>
      </c>
      <c r="D546" s="102">
        <v>0.30087862692781453</v>
      </c>
    </row>
    <row r="547" spans="2:4" x14ac:dyDescent="0.25">
      <c r="B547" s="61">
        <v>514</v>
      </c>
      <c r="C547" s="61">
        <v>515175.70154772431</v>
      </c>
      <c r="D547" s="102">
        <v>0.45986649268326163</v>
      </c>
    </row>
    <row r="548" spans="2:4" x14ac:dyDescent="0.25">
      <c r="B548" s="61">
        <v>515</v>
      </c>
      <c r="C548" s="61">
        <v>13918.733473037893</v>
      </c>
      <c r="D548" s="102">
        <v>7.6406934878558763E-2</v>
      </c>
    </row>
    <row r="549" spans="2:4" x14ac:dyDescent="0.25">
      <c r="B549" s="61">
        <v>516</v>
      </c>
      <c r="C549" s="61">
        <v>87018.291538949066</v>
      </c>
      <c r="D549" s="102">
        <v>0.11928710832334266</v>
      </c>
    </row>
    <row r="550" spans="2:4" x14ac:dyDescent="0.25">
      <c r="B550" s="61">
        <v>517</v>
      </c>
      <c r="C550" s="61">
        <v>216268.78054426401</v>
      </c>
      <c r="D550" s="102">
        <v>0.22507491560453796</v>
      </c>
    </row>
    <row r="551" spans="2:4" x14ac:dyDescent="0.25">
      <c r="B551" s="61">
        <v>518</v>
      </c>
      <c r="C551" s="61">
        <v>340975.02631303505</v>
      </c>
      <c r="D551" s="102">
        <v>0.33815516409526758</v>
      </c>
    </row>
    <row r="552" spans="2:4" x14ac:dyDescent="0.25">
      <c r="B552" s="61">
        <v>519</v>
      </c>
      <c r="C552" s="61">
        <v>258102.26244398183</v>
      </c>
      <c r="D552" s="102">
        <v>0.21644880086741947</v>
      </c>
    </row>
    <row r="553" spans="2:4" x14ac:dyDescent="0.25">
      <c r="B553" s="61">
        <v>520</v>
      </c>
      <c r="C553" s="61">
        <v>369655.25090841437</v>
      </c>
      <c r="D553" s="102">
        <v>0.33167020096333188</v>
      </c>
    </row>
    <row r="554" spans="2:4" x14ac:dyDescent="0.25">
      <c r="B554" s="61">
        <v>521</v>
      </c>
      <c r="C554" s="61">
        <v>417475.24965282157</v>
      </c>
      <c r="D554" s="102">
        <v>0.42466573899549553</v>
      </c>
    </row>
    <row r="555" spans="2:4" x14ac:dyDescent="0.25">
      <c r="B555" s="61">
        <v>522</v>
      </c>
      <c r="C555" s="61">
        <v>501626.74076443003</v>
      </c>
      <c r="D555" s="102">
        <v>0.43834304581601313</v>
      </c>
    </row>
    <row r="556" spans="2:4" x14ac:dyDescent="0.25">
      <c r="B556" s="61">
        <v>523</v>
      </c>
      <c r="C556" s="61">
        <v>118923.83505523513</v>
      </c>
      <c r="D556" s="102">
        <v>0.15638544516596897</v>
      </c>
    </row>
    <row r="557" spans="2:4" x14ac:dyDescent="0.25">
      <c r="B557" s="61">
        <v>524</v>
      </c>
      <c r="C557" s="61">
        <v>278956.8203911786</v>
      </c>
      <c r="D557" s="102">
        <v>0.30018251182658329</v>
      </c>
    </row>
    <row r="558" spans="2:4" x14ac:dyDescent="0.25">
      <c r="B558" s="61">
        <v>525</v>
      </c>
      <c r="C558" s="61">
        <v>156581.81420655292</v>
      </c>
      <c r="D558" s="102">
        <v>0.1921422569731257</v>
      </c>
    </row>
    <row r="559" spans="2:4" x14ac:dyDescent="0.25">
      <c r="B559" s="61">
        <v>526</v>
      </c>
      <c r="C559" s="61">
        <v>241096.07302989985</v>
      </c>
      <c r="D559" s="102">
        <v>0.2472589477298639</v>
      </c>
    </row>
    <row r="560" spans="2:4" x14ac:dyDescent="0.25">
      <c r="B560" s="61">
        <v>527</v>
      </c>
      <c r="C560" s="61">
        <v>201685.54764611414</v>
      </c>
      <c r="D560" s="102">
        <v>0.26764373348304327</v>
      </c>
    </row>
    <row r="561" spans="2:4" x14ac:dyDescent="0.25">
      <c r="B561" s="61">
        <v>528</v>
      </c>
      <c r="C561" s="61">
        <v>256416.233478365</v>
      </c>
      <c r="D561" s="102">
        <v>0.25321747007087714</v>
      </c>
    </row>
    <row r="562" spans="2:4" x14ac:dyDescent="0.25">
      <c r="B562" s="61">
        <v>529</v>
      </c>
      <c r="C562" s="61">
        <v>377652.98267856182</v>
      </c>
      <c r="D562" s="102">
        <v>0.36755195154281717</v>
      </c>
    </row>
    <row r="563" spans="2:4" x14ac:dyDescent="0.25">
      <c r="B563" s="61">
        <v>530</v>
      </c>
      <c r="C563" s="61">
        <v>184560.56399322487</v>
      </c>
      <c r="D563" s="102">
        <v>0.2176955816511954</v>
      </c>
    </row>
    <row r="564" spans="2:4" x14ac:dyDescent="0.25">
      <c r="B564" s="61">
        <v>531</v>
      </c>
      <c r="C564" s="61">
        <v>297950.92305471108</v>
      </c>
      <c r="D564" s="102">
        <v>0.30678453542396222</v>
      </c>
    </row>
    <row r="565" spans="2:4" x14ac:dyDescent="0.25">
      <c r="B565" s="61">
        <v>532</v>
      </c>
      <c r="C565" s="61">
        <v>190135.42851330654</v>
      </c>
      <c r="D565" s="102">
        <v>0.20429083068466669</v>
      </c>
    </row>
    <row r="566" spans="2:4" x14ac:dyDescent="0.25">
      <c r="B566" s="61">
        <v>533</v>
      </c>
      <c r="C566" s="61">
        <v>498246.81983895402</v>
      </c>
      <c r="D566" s="102">
        <v>0.4405782030186427</v>
      </c>
    </row>
    <row r="567" spans="2:4" x14ac:dyDescent="0.25">
      <c r="B567" s="61">
        <v>534</v>
      </c>
      <c r="C567" s="61">
        <v>303803.60753176606</v>
      </c>
      <c r="D567" s="102">
        <v>0.30173147330607875</v>
      </c>
    </row>
    <row r="568" spans="2:4" x14ac:dyDescent="0.25">
      <c r="B568" s="61">
        <v>535</v>
      </c>
      <c r="C568" s="61">
        <v>476923.30526657193</v>
      </c>
      <c r="D568" s="102">
        <v>0.44931514886782131</v>
      </c>
    </row>
    <row r="569" spans="2:4" x14ac:dyDescent="0.25">
      <c r="B569" s="61">
        <v>536</v>
      </c>
      <c r="C569" s="61">
        <v>437207.73272980598</v>
      </c>
      <c r="D569" s="102">
        <v>0.3928006423291126</v>
      </c>
    </row>
    <row r="570" spans="2:4" x14ac:dyDescent="0.25">
      <c r="B570" s="61">
        <v>537</v>
      </c>
      <c r="C570" s="61">
        <v>220635.12379450945</v>
      </c>
      <c r="D570" s="102">
        <v>0.24277235892163995</v>
      </c>
    </row>
    <row r="571" spans="2:4" x14ac:dyDescent="0.25">
      <c r="B571" s="61">
        <v>538</v>
      </c>
      <c r="C571" s="61">
        <v>181512.66847135616</v>
      </c>
      <c r="D571" s="102">
        <v>0.21859046829087614</v>
      </c>
    </row>
    <row r="572" spans="2:4" x14ac:dyDescent="0.25">
      <c r="B572" s="61">
        <v>539</v>
      </c>
      <c r="C572" s="61">
        <v>233589.64123546693</v>
      </c>
      <c r="D572" s="102">
        <v>0.26637490183789603</v>
      </c>
    </row>
    <row r="573" spans="2:4" x14ac:dyDescent="0.25">
      <c r="B573" s="61">
        <v>540</v>
      </c>
      <c r="C573" s="61">
        <v>273021.08640346746</v>
      </c>
      <c r="D573" s="102">
        <v>0.29341359303856773</v>
      </c>
    </row>
    <row r="574" spans="2:4" x14ac:dyDescent="0.25">
      <c r="B574" s="61">
        <v>541</v>
      </c>
      <c r="C574" s="61">
        <v>372449.09152737388</v>
      </c>
      <c r="D574" s="102">
        <v>0.39004546862842826</v>
      </c>
    </row>
    <row r="575" spans="2:4" x14ac:dyDescent="0.25">
      <c r="B575" s="61">
        <v>542</v>
      </c>
      <c r="C575" s="61">
        <v>212093.97376255272</v>
      </c>
      <c r="D575" s="102">
        <v>0.22325847148992239</v>
      </c>
    </row>
    <row r="576" spans="2:4" x14ac:dyDescent="0.25">
      <c r="B576" s="61">
        <v>543</v>
      </c>
      <c r="C576" s="61">
        <v>112204.75513675192</v>
      </c>
      <c r="D576" s="102">
        <v>0.12960153110296102</v>
      </c>
    </row>
    <row r="577" spans="2:4" x14ac:dyDescent="0.25">
      <c r="B577" s="61">
        <v>544</v>
      </c>
      <c r="C577" s="61">
        <v>434061.92096889776</v>
      </c>
      <c r="D577" s="102">
        <v>0.34833202532108043</v>
      </c>
    </row>
    <row r="578" spans="2:4" x14ac:dyDescent="0.25">
      <c r="B578" s="61">
        <v>545</v>
      </c>
      <c r="C578" s="61">
        <v>274138.63872459601</v>
      </c>
      <c r="D578" s="102">
        <v>0.29254067219276125</v>
      </c>
    </row>
    <row r="579" spans="2:4" x14ac:dyDescent="0.25">
      <c r="B579" s="61">
        <v>546</v>
      </c>
      <c r="C579" s="61">
        <v>184343.55295111134</v>
      </c>
      <c r="D579" s="102">
        <v>0.26799036014213429</v>
      </c>
    </row>
    <row r="580" spans="2:4" x14ac:dyDescent="0.25">
      <c r="B580" s="61">
        <v>547</v>
      </c>
      <c r="C580" s="61">
        <v>494965.72618128126</v>
      </c>
      <c r="D580" s="102">
        <v>0.40781514374301997</v>
      </c>
    </row>
    <row r="581" spans="2:4" x14ac:dyDescent="0.25">
      <c r="B581" s="61">
        <v>548</v>
      </c>
      <c r="C581" s="61">
        <v>330402.47172423452</v>
      </c>
      <c r="D581" s="102">
        <v>0.30379783549594186</v>
      </c>
    </row>
    <row r="582" spans="2:4" x14ac:dyDescent="0.25">
      <c r="B582" s="61">
        <v>549</v>
      </c>
      <c r="C582" s="61">
        <v>292416.74459127593</v>
      </c>
      <c r="D582" s="102">
        <v>0.28411240697973894</v>
      </c>
    </row>
    <row r="583" spans="2:4" x14ac:dyDescent="0.25">
      <c r="B583" s="61">
        <v>550</v>
      </c>
      <c r="C583" s="61">
        <v>480914.50268109923</v>
      </c>
      <c r="D583" s="102">
        <v>0.4390009848777694</v>
      </c>
    </row>
    <row r="584" spans="2:4" x14ac:dyDescent="0.25">
      <c r="B584" s="61">
        <v>551</v>
      </c>
      <c r="C584" s="61">
        <v>105664.48226160667</v>
      </c>
      <c r="D584" s="102">
        <v>0.15800844863819363</v>
      </c>
    </row>
    <row r="585" spans="2:4" x14ac:dyDescent="0.25">
      <c r="B585" s="61">
        <v>552</v>
      </c>
      <c r="C585" s="61">
        <v>490201.04656978592</v>
      </c>
      <c r="D585" s="102">
        <v>0.4568853086227862</v>
      </c>
    </row>
    <row r="586" spans="2:4" x14ac:dyDescent="0.25">
      <c r="B586" s="61">
        <v>553</v>
      </c>
      <c r="C586" s="61">
        <v>320746.91691016871</v>
      </c>
      <c r="D586" s="102">
        <v>0.40120343152259297</v>
      </c>
    </row>
    <row r="587" spans="2:4" x14ac:dyDescent="0.25">
      <c r="B587" s="61">
        <v>554</v>
      </c>
      <c r="C587" s="61">
        <v>380173.89826191112</v>
      </c>
      <c r="D587" s="102">
        <v>0.3106105043688705</v>
      </c>
    </row>
    <row r="588" spans="2:4" x14ac:dyDescent="0.25">
      <c r="B588" s="61">
        <v>555</v>
      </c>
      <c r="C588" s="61">
        <v>394780.11791806412</v>
      </c>
      <c r="D588" s="102">
        <v>0.32329854925914425</v>
      </c>
    </row>
    <row r="589" spans="2:4" x14ac:dyDescent="0.25">
      <c r="B589" s="61">
        <v>556</v>
      </c>
      <c r="C589" s="61">
        <v>384647.74110229639</v>
      </c>
      <c r="D589" s="102">
        <v>0.37236845740305657</v>
      </c>
    </row>
    <row r="590" spans="2:4" x14ac:dyDescent="0.25">
      <c r="B590" s="61">
        <v>557</v>
      </c>
      <c r="C590" s="61">
        <v>223001.10989493178</v>
      </c>
      <c r="D590" s="102">
        <v>0.22044685398319297</v>
      </c>
    </row>
    <row r="591" spans="2:4" x14ac:dyDescent="0.25">
      <c r="B591" s="61">
        <v>558</v>
      </c>
      <c r="C591" s="61">
        <v>107116.33234126435</v>
      </c>
      <c r="D591" s="102">
        <v>0.12666117311635294</v>
      </c>
    </row>
    <row r="592" spans="2:4" x14ac:dyDescent="0.25">
      <c r="B592" s="61">
        <v>559</v>
      </c>
      <c r="C592" s="61">
        <v>97120.831469865167</v>
      </c>
      <c r="D592" s="102">
        <v>0.18527684264377386</v>
      </c>
    </row>
    <row r="593" spans="2:4" x14ac:dyDescent="0.25">
      <c r="B593" s="61">
        <v>560</v>
      </c>
      <c r="C593" s="61">
        <v>386573.08654082683</v>
      </c>
      <c r="D593" s="102">
        <v>0.34347424842885066</v>
      </c>
    </row>
    <row r="594" spans="2:4" x14ac:dyDescent="0.25">
      <c r="B594" s="61">
        <v>561</v>
      </c>
      <c r="C594" s="61">
        <v>110075.06887667521</v>
      </c>
      <c r="D594" s="102">
        <v>0.13185979227796452</v>
      </c>
    </row>
    <row r="595" spans="2:4" x14ac:dyDescent="0.25">
      <c r="B595" s="61">
        <v>562</v>
      </c>
      <c r="C595" s="61">
        <v>197674.3602572087</v>
      </c>
      <c r="D595" s="102">
        <v>0.20281157225753521</v>
      </c>
    </row>
    <row r="596" spans="2:4" x14ac:dyDescent="0.25">
      <c r="B596" s="61">
        <v>563</v>
      </c>
      <c r="C596" s="61">
        <v>366513.12647698959</v>
      </c>
      <c r="D596" s="102">
        <v>0.3792859377764719</v>
      </c>
    </row>
    <row r="597" spans="2:4" x14ac:dyDescent="0.25">
      <c r="B597" s="61">
        <v>564</v>
      </c>
      <c r="C597" s="61">
        <v>314527.51284343156</v>
      </c>
      <c r="D597" s="102">
        <v>0.34515346976777028</v>
      </c>
    </row>
    <row r="598" spans="2:4" x14ac:dyDescent="0.25">
      <c r="B598" s="61">
        <v>565</v>
      </c>
      <c r="C598" s="61">
        <v>214153.34631609393</v>
      </c>
      <c r="D598" s="102">
        <v>0.21558990710315817</v>
      </c>
    </row>
    <row r="599" spans="2:4" x14ac:dyDescent="0.25">
      <c r="B599" s="61">
        <v>566</v>
      </c>
      <c r="C599" s="61">
        <v>153492.68806357076</v>
      </c>
      <c r="D599" s="102">
        <v>0.15951419968519676</v>
      </c>
    </row>
    <row r="600" spans="2:4" x14ac:dyDescent="0.25">
      <c r="B600" s="61">
        <v>567</v>
      </c>
      <c r="C600" s="61">
        <v>152664.05797298724</v>
      </c>
      <c r="D600" s="102">
        <v>0.17868756067709368</v>
      </c>
    </row>
    <row r="601" spans="2:4" x14ac:dyDescent="0.25">
      <c r="B601" s="61">
        <v>568</v>
      </c>
      <c r="C601" s="61">
        <v>368224.34269049729</v>
      </c>
      <c r="D601" s="102">
        <v>0.37609972696827465</v>
      </c>
    </row>
    <row r="602" spans="2:4" x14ac:dyDescent="0.25">
      <c r="B602" s="61">
        <v>569</v>
      </c>
      <c r="C602" s="61">
        <v>540208.765921782</v>
      </c>
      <c r="D602" s="102">
        <v>0.45692698670679288</v>
      </c>
    </row>
    <row r="603" spans="2:4" x14ac:dyDescent="0.25">
      <c r="B603" s="61">
        <v>570</v>
      </c>
      <c r="C603" s="61">
        <v>112338.54789924162</v>
      </c>
      <c r="D603" s="102">
        <v>0.16041380462073862</v>
      </c>
    </row>
    <row r="604" spans="2:4" x14ac:dyDescent="0.25">
      <c r="B604" s="61">
        <v>571</v>
      </c>
      <c r="C604" s="61">
        <v>240401.95676511014</v>
      </c>
      <c r="D604" s="102">
        <v>0.25525261944185629</v>
      </c>
    </row>
    <row r="605" spans="2:4" x14ac:dyDescent="0.25">
      <c r="B605" s="61">
        <v>572</v>
      </c>
      <c r="C605" s="61">
        <v>526242.42967465625</v>
      </c>
      <c r="D605" s="102">
        <v>0.43138004550271414</v>
      </c>
    </row>
    <row r="606" spans="2:4" x14ac:dyDescent="0.25">
      <c r="B606" s="61">
        <v>573</v>
      </c>
      <c r="C606" s="61">
        <v>-34042.799019404978</v>
      </c>
      <c r="D606" s="102">
        <v>3.7041932881138662E-2</v>
      </c>
    </row>
    <row r="607" spans="2:4" x14ac:dyDescent="0.25">
      <c r="B607" s="61">
        <v>574</v>
      </c>
      <c r="C607" s="61">
        <v>349006.48489399906</v>
      </c>
      <c r="D607" s="102">
        <v>0.35164995883801375</v>
      </c>
    </row>
    <row r="608" spans="2:4" x14ac:dyDescent="0.25">
      <c r="B608" s="61">
        <v>575</v>
      </c>
      <c r="C608" s="61">
        <v>143894.08838487428</v>
      </c>
      <c r="D608" s="102">
        <v>0.19637321762465576</v>
      </c>
    </row>
    <row r="609" spans="2:4" x14ac:dyDescent="0.25">
      <c r="B609" s="61">
        <v>576</v>
      </c>
      <c r="C609" s="61">
        <v>120250.07296416943</v>
      </c>
      <c r="D609" s="102">
        <v>0.13675758595151399</v>
      </c>
    </row>
    <row r="610" spans="2:4" x14ac:dyDescent="0.25">
      <c r="B610" s="61">
        <v>577</v>
      </c>
      <c r="C610" s="61">
        <v>206168.62356697058</v>
      </c>
      <c r="D610" s="102">
        <v>0.22668023161878592</v>
      </c>
    </row>
    <row r="611" spans="2:4" x14ac:dyDescent="0.25">
      <c r="B611" s="61">
        <v>578</v>
      </c>
      <c r="C611" s="61">
        <v>381208.77805641096</v>
      </c>
      <c r="D611" s="102">
        <v>0.32163633563824701</v>
      </c>
    </row>
    <row r="612" spans="2:4" x14ac:dyDescent="0.25">
      <c r="B612" s="61">
        <v>579</v>
      </c>
      <c r="C612" s="61">
        <v>451842.00395264057</v>
      </c>
      <c r="D612" s="102">
        <v>0.40971114623904903</v>
      </c>
    </row>
    <row r="613" spans="2:4" x14ac:dyDescent="0.25">
      <c r="B613" s="61">
        <v>580</v>
      </c>
      <c r="C613" s="61">
        <v>285296.47525627073</v>
      </c>
      <c r="D613" s="102">
        <v>0.25330152627729796</v>
      </c>
    </row>
    <row r="614" spans="2:4" x14ac:dyDescent="0.25">
      <c r="B614" s="61">
        <v>581</v>
      </c>
      <c r="C614" s="61">
        <v>437545.49108181742</v>
      </c>
      <c r="D614" s="102">
        <v>0.40054534722623325</v>
      </c>
    </row>
    <row r="615" spans="2:4" x14ac:dyDescent="0.25">
      <c r="B615" s="61">
        <v>582</v>
      </c>
      <c r="C615" s="61">
        <v>274074.32424989867</v>
      </c>
      <c r="D615" s="102">
        <v>0.38969839687307295</v>
      </c>
    </row>
    <row r="616" spans="2:4" x14ac:dyDescent="0.25">
      <c r="B616" s="61">
        <v>583</v>
      </c>
      <c r="C616" s="61">
        <v>394281.1729912489</v>
      </c>
      <c r="D616" s="102">
        <v>0.40541559517150683</v>
      </c>
    </row>
    <row r="617" spans="2:4" x14ac:dyDescent="0.25">
      <c r="B617" s="61">
        <v>584</v>
      </c>
      <c r="C617" s="61">
        <v>164764.05868279887</v>
      </c>
      <c r="D617" s="102">
        <v>0.19960182883707889</v>
      </c>
    </row>
    <row r="618" spans="2:4" x14ac:dyDescent="0.25">
      <c r="B618" s="61">
        <v>585</v>
      </c>
      <c r="C618" s="61">
        <v>365547.42642414058</v>
      </c>
      <c r="D618" s="102">
        <v>0.37095393164851798</v>
      </c>
    </row>
    <row r="619" spans="2:4" x14ac:dyDescent="0.25">
      <c r="B619" s="61">
        <v>586</v>
      </c>
      <c r="C619" s="61">
        <v>242962.4863347878</v>
      </c>
      <c r="D619" s="102">
        <v>0.29421197412658295</v>
      </c>
    </row>
    <row r="620" spans="2:4" x14ac:dyDescent="0.25">
      <c r="B620" s="61">
        <v>587</v>
      </c>
      <c r="C620" s="61">
        <v>356359.14203157625</v>
      </c>
      <c r="D620" s="102">
        <v>0.36758931521199911</v>
      </c>
    </row>
    <row r="621" spans="2:4" x14ac:dyDescent="0.25">
      <c r="B621" s="61">
        <v>588</v>
      </c>
      <c r="C621" s="61">
        <v>273484.82517909829</v>
      </c>
      <c r="D621" s="102">
        <v>0.31640137129395174</v>
      </c>
    </row>
    <row r="622" spans="2:4" x14ac:dyDescent="0.25">
      <c r="B622" s="61">
        <v>589</v>
      </c>
      <c r="C622" s="61">
        <v>302312.28969930403</v>
      </c>
      <c r="D622" s="102">
        <v>0.3219350682894091</v>
      </c>
    </row>
    <row r="623" spans="2:4" x14ac:dyDescent="0.25">
      <c r="B623" s="61">
        <v>590</v>
      </c>
      <c r="C623" s="61">
        <v>261742.27348825044</v>
      </c>
      <c r="D623" s="102">
        <v>0.24790935151013338</v>
      </c>
    </row>
    <row r="624" spans="2:4" x14ac:dyDescent="0.25">
      <c r="B624" s="61">
        <v>591</v>
      </c>
      <c r="C624" s="61">
        <v>361559.57205553295</v>
      </c>
      <c r="D624" s="102">
        <v>0.35492938232849758</v>
      </c>
    </row>
    <row r="625" spans="2:4" x14ac:dyDescent="0.25">
      <c r="B625" s="61">
        <v>592</v>
      </c>
      <c r="C625" s="61">
        <v>118009.94954637421</v>
      </c>
      <c r="D625" s="102">
        <v>0.21872934282663259</v>
      </c>
    </row>
    <row r="626" spans="2:4" x14ac:dyDescent="0.25">
      <c r="B626" s="61">
        <v>593</v>
      </c>
      <c r="C626" s="61">
        <v>213693.35510092555</v>
      </c>
      <c r="D626" s="102">
        <v>0.28248838373681928</v>
      </c>
    </row>
    <row r="627" spans="2:4" x14ac:dyDescent="0.25">
      <c r="B627" s="61">
        <v>594</v>
      </c>
      <c r="C627" s="61">
        <v>308757.17318116059</v>
      </c>
      <c r="D627" s="102">
        <v>0.29649652409245619</v>
      </c>
    </row>
    <row r="628" spans="2:4" x14ac:dyDescent="0.25">
      <c r="B628" s="61">
        <v>595</v>
      </c>
      <c r="C628" s="61">
        <v>165048.09523139871</v>
      </c>
      <c r="D628" s="102">
        <v>0.16898687841240423</v>
      </c>
    </row>
    <row r="629" spans="2:4" x14ac:dyDescent="0.25">
      <c r="B629" s="61">
        <v>596</v>
      </c>
      <c r="C629" s="61">
        <v>190056.04257006396</v>
      </c>
      <c r="D629" s="102">
        <v>0.23250766371787712</v>
      </c>
    </row>
    <row r="630" spans="2:4" x14ac:dyDescent="0.25">
      <c r="B630" s="61">
        <v>597</v>
      </c>
      <c r="C630" s="61">
        <v>186598.63053473365</v>
      </c>
      <c r="D630" s="102">
        <v>0.21232074201552309</v>
      </c>
    </row>
    <row r="631" spans="2:4" x14ac:dyDescent="0.25">
      <c r="B631" s="61">
        <v>598</v>
      </c>
      <c r="C631" s="61">
        <v>386801.04594325158</v>
      </c>
      <c r="D631" s="102">
        <v>0.33190994828352705</v>
      </c>
    </row>
    <row r="632" spans="2:4" x14ac:dyDescent="0.25">
      <c r="B632" s="61">
        <v>599</v>
      </c>
      <c r="C632" s="61">
        <v>332501.16871814558</v>
      </c>
      <c r="D632" s="102">
        <v>0.29778249194996809</v>
      </c>
    </row>
    <row r="633" spans="2:4" x14ac:dyDescent="0.25">
      <c r="B633" s="61">
        <v>600</v>
      </c>
      <c r="C633" s="61">
        <v>247059.82970553986</v>
      </c>
      <c r="D633" s="102">
        <v>0.31052648064045596</v>
      </c>
    </row>
    <row r="634" spans="2:4" x14ac:dyDescent="0.25">
      <c r="B634" s="61">
        <v>601</v>
      </c>
      <c r="C634" s="61">
        <v>271465.33802106406</v>
      </c>
      <c r="D634" s="102">
        <v>0.23796097841445296</v>
      </c>
    </row>
    <row r="635" spans="2:4" x14ac:dyDescent="0.25">
      <c r="B635" s="61">
        <v>602</v>
      </c>
      <c r="C635" s="61">
        <v>129350.14960338722</v>
      </c>
      <c r="D635" s="102">
        <v>0.17647495893162057</v>
      </c>
    </row>
    <row r="636" spans="2:4" x14ac:dyDescent="0.25">
      <c r="B636" s="61">
        <v>603</v>
      </c>
      <c r="C636" s="61">
        <v>42180.30497105344</v>
      </c>
      <c r="D636" s="102">
        <v>0.10934028823009267</v>
      </c>
    </row>
    <row r="637" spans="2:4" x14ac:dyDescent="0.25">
      <c r="B637" s="61">
        <v>604</v>
      </c>
      <c r="C637" s="61">
        <v>92016.493677725026</v>
      </c>
      <c r="D637" s="102">
        <v>0.13326221933918059</v>
      </c>
    </row>
    <row r="638" spans="2:4" x14ac:dyDescent="0.25">
      <c r="B638" s="61">
        <v>605</v>
      </c>
      <c r="C638" s="61">
        <v>338107.48497472459</v>
      </c>
      <c r="D638" s="102">
        <v>0.38477491849606826</v>
      </c>
    </row>
    <row r="639" spans="2:4" x14ac:dyDescent="0.25">
      <c r="B639" s="61">
        <v>606</v>
      </c>
      <c r="C639" s="61">
        <v>392892.780722233</v>
      </c>
      <c r="D639" s="102">
        <v>0.38195411340955721</v>
      </c>
    </row>
    <row r="640" spans="2:4" x14ac:dyDescent="0.25">
      <c r="B640" s="61">
        <v>607</v>
      </c>
      <c r="C640" s="61">
        <v>532737.25724361325</v>
      </c>
      <c r="D640" s="102">
        <v>0.49103561887823211</v>
      </c>
    </row>
    <row r="641" spans="2:4" x14ac:dyDescent="0.25">
      <c r="B641" s="61">
        <v>608</v>
      </c>
      <c r="C641" s="61">
        <v>184693.15040571115</v>
      </c>
      <c r="D641" s="102">
        <v>0.21258718496863627</v>
      </c>
    </row>
    <row r="642" spans="2:4" x14ac:dyDescent="0.25">
      <c r="B642" s="61">
        <v>609</v>
      </c>
      <c r="C642" s="61">
        <v>374070.0039127206</v>
      </c>
      <c r="D642" s="102">
        <v>0.31627824547336147</v>
      </c>
    </row>
    <row r="643" spans="2:4" x14ac:dyDescent="0.25">
      <c r="B643" s="61">
        <v>610</v>
      </c>
      <c r="C643" s="61">
        <v>311823.34608520055</v>
      </c>
      <c r="D643" s="102">
        <v>0.25879484502982897</v>
      </c>
    </row>
    <row r="644" spans="2:4" x14ac:dyDescent="0.25">
      <c r="B644" s="61">
        <v>611</v>
      </c>
      <c r="C644" s="61">
        <v>339059.06138827733</v>
      </c>
      <c r="D644" s="102">
        <v>0.29234691954393877</v>
      </c>
    </row>
    <row r="645" spans="2:4" x14ac:dyDescent="0.25">
      <c r="B645" s="61">
        <v>612</v>
      </c>
      <c r="C645" s="61">
        <v>25631.385174948606</v>
      </c>
      <c r="D645" s="102">
        <v>8.714384479503412E-2</v>
      </c>
    </row>
    <row r="646" spans="2:4" x14ac:dyDescent="0.25">
      <c r="B646" s="61">
        <v>613</v>
      </c>
      <c r="C646" s="61">
        <v>99258.108031026844</v>
      </c>
      <c r="D646" s="102">
        <v>0.1481895128606312</v>
      </c>
    </row>
    <row r="647" spans="2:4" x14ac:dyDescent="0.25">
      <c r="B647" s="61">
        <v>614</v>
      </c>
      <c r="C647" s="61">
        <v>243255.62424501218</v>
      </c>
      <c r="D647" s="102">
        <v>0.26795886317925688</v>
      </c>
    </row>
    <row r="648" spans="2:4" x14ac:dyDescent="0.25">
      <c r="B648" s="61">
        <v>615</v>
      </c>
      <c r="C648" s="61">
        <v>269102.64840835601</v>
      </c>
      <c r="D648" s="102">
        <v>0.25782275442095348</v>
      </c>
    </row>
    <row r="649" spans="2:4" x14ac:dyDescent="0.25">
      <c r="B649" s="61">
        <v>616</v>
      </c>
      <c r="C649" s="61">
        <v>171029.47347212618</v>
      </c>
      <c r="D649" s="102">
        <v>0.19778134095276578</v>
      </c>
    </row>
    <row r="650" spans="2:4" x14ac:dyDescent="0.25">
      <c r="B650" s="61">
        <v>617</v>
      </c>
      <c r="C650" s="61">
        <v>144447.2850041457</v>
      </c>
      <c r="D650" s="102">
        <v>0.16371782453370587</v>
      </c>
    </row>
    <row r="651" spans="2:4" x14ac:dyDescent="0.25">
      <c r="B651" s="61">
        <v>618</v>
      </c>
      <c r="C651" s="61">
        <v>482702.95934015943</v>
      </c>
      <c r="D651" s="102">
        <v>0.43592346563052753</v>
      </c>
    </row>
    <row r="652" spans="2:4" x14ac:dyDescent="0.25">
      <c r="B652" s="61">
        <v>619</v>
      </c>
      <c r="C652" s="61">
        <v>428480.4025165597</v>
      </c>
      <c r="D652" s="102">
        <v>0.45886285663837589</v>
      </c>
    </row>
    <row r="653" spans="2:4" x14ac:dyDescent="0.25">
      <c r="B653" s="61">
        <v>620</v>
      </c>
      <c r="C653" s="61">
        <v>271713.05700598902</v>
      </c>
      <c r="D653" s="102">
        <v>0.31838162840417428</v>
      </c>
    </row>
    <row r="654" spans="2:4" x14ac:dyDescent="0.25">
      <c r="B654" s="61">
        <v>621</v>
      </c>
      <c r="C654" s="61">
        <v>168156.000347647</v>
      </c>
      <c r="D654" s="102">
        <v>0.19886865182718694</v>
      </c>
    </row>
    <row r="655" spans="2:4" x14ac:dyDescent="0.25">
      <c r="B655" s="61">
        <v>622</v>
      </c>
      <c r="C655" s="61">
        <v>145328.30164057645</v>
      </c>
      <c r="D655" s="102">
        <v>0.1821494730847204</v>
      </c>
    </row>
    <row r="656" spans="2:4" x14ac:dyDescent="0.25">
      <c r="B656" s="61">
        <v>623</v>
      </c>
      <c r="C656" s="61">
        <v>235361.42226771789</v>
      </c>
      <c r="D656" s="102">
        <v>0.29857209681123287</v>
      </c>
    </row>
    <row r="657" spans="2:4" x14ac:dyDescent="0.25">
      <c r="B657" s="61">
        <v>624</v>
      </c>
      <c r="C657" s="61">
        <v>352883.40685901616</v>
      </c>
      <c r="D657" s="102">
        <v>0.38883756678993375</v>
      </c>
    </row>
    <row r="658" spans="2:4" x14ac:dyDescent="0.25">
      <c r="B658" s="61">
        <v>625</v>
      </c>
      <c r="C658" s="61">
        <v>370648.69362509262</v>
      </c>
      <c r="D658" s="102">
        <v>0.34392906814200708</v>
      </c>
    </row>
    <row r="659" spans="2:4" x14ac:dyDescent="0.25">
      <c r="B659" s="61">
        <v>626</v>
      </c>
      <c r="C659" s="61">
        <v>139759.75921375718</v>
      </c>
      <c r="D659" s="102">
        <v>0.16517654808494164</v>
      </c>
    </row>
    <row r="660" spans="2:4" x14ac:dyDescent="0.25">
      <c r="B660" s="61">
        <v>627</v>
      </c>
      <c r="C660" s="61">
        <v>-10094.689584642008</v>
      </c>
      <c r="D660" s="102">
        <v>5.5546738785938521E-2</v>
      </c>
    </row>
    <row r="661" spans="2:4" x14ac:dyDescent="0.25">
      <c r="B661" s="61">
        <v>628</v>
      </c>
      <c r="C661" s="61">
        <v>157577.7529292978</v>
      </c>
      <c r="D661" s="102">
        <v>0.19219271287412698</v>
      </c>
    </row>
    <row r="662" spans="2:4" x14ac:dyDescent="0.25">
      <c r="B662" s="61">
        <v>629</v>
      </c>
      <c r="C662" s="61">
        <v>131471.22891089093</v>
      </c>
      <c r="D662" s="102">
        <v>0.17338236422619024</v>
      </c>
    </row>
    <row r="663" spans="2:4" x14ac:dyDescent="0.25">
      <c r="B663" s="61">
        <v>630</v>
      </c>
      <c r="C663" s="61">
        <v>320463.41983021528</v>
      </c>
      <c r="D663" s="102">
        <v>0.27436106529766668</v>
      </c>
    </row>
    <row r="664" spans="2:4" x14ac:dyDescent="0.25">
      <c r="B664" s="61">
        <v>631</v>
      </c>
      <c r="C664" s="61">
        <v>241435.92823385552</v>
      </c>
      <c r="D664" s="102">
        <v>0.26843431590795652</v>
      </c>
    </row>
    <row r="665" spans="2:4" x14ac:dyDescent="0.25">
      <c r="B665" s="61">
        <v>632</v>
      </c>
      <c r="C665" s="61">
        <v>94357.012322942202</v>
      </c>
      <c r="D665" s="102">
        <v>0.139728551526211</v>
      </c>
    </row>
    <row r="666" spans="2:4" x14ac:dyDescent="0.25">
      <c r="B666" s="61">
        <v>633</v>
      </c>
      <c r="C666" s="61">
        <v>192475.44701909856</v>
      </c>
      <c r="D666" s="102">
        <v>0.20663477715047462</v>
      </c>
    </row>
    <row r="667" spans="2:4" x14ac:dyDescent="0.25">
      <c r="B667" s="61">
        <v>634</v>
      </c>
      <c r="C667" s="61">
        <v>336902.04914625792</v>
      </c>
      <c r="D667" s="102">
        <v>0.36645817806722047</v>
      </c>
    </row>
    <row r="668" spans="2:4" x14ac:dyDescent="0.25">
      <c r="B668" s="61">
        <v>635</v>
      </c>
      <c r="C668" s="61">
        <v>380134.12250105583</v>
      </c>
      <c r="D668" s="102">
        <v>0.3747935780001268</v>
      </c>
    </row>
    <row r="669" spans="2:4" x14ac:dyDescent="0.25">
      <c r="B669" s="61">
        <v>636</v>
      </c>
      <c r="C669" s="61">
        <v>523205.95387529896</v>
      </c>
      <c r="D669" s="102">
        <v>0.49438483307244496</v>
      </c>
    </row>
    <row r="670" spans="2:4" x14ac:dyDescent="0.25">
      <c r="B670" s="61">
        <v>637</v>
      </c>
      <c r="C670" s="61">
        <v>182868.88554111042</v>
      </c>
      <c r="D670" s="102">
        <v>0.21682442261228818</v>
      </c>
    </row>
    <row r="671" spans="2:4" x14ac:dyDescent="0.25">
      <c r="B671" s="61">
        <v>638</v>
      </c>
      <c r="C671" s="61">
        <v>38046.048964957474</v>
      </c>
      <c r="D671" s="102">
        <v>9.2592689664643846E-2</v>
      </c>
    </row>
    <row r="672" spans="2:4" x14ac:dyDescent="0.25">
      <c r="B672" s="61">
        <v>639</v>
      </c>
      <c r="C672" s="61">
        <v>254378.21473341715</v>
      </c>
      <c r="D672" s="102">
        <v>0.26653007113543259</v>
      </c>
    </row>
    <row r="673" spans="2:4" x14ac:dyDescent="0.25">
      <c r="B673" s="61">
        <v>640</v>
      </c>
      <c r="C673" s="61">
        <v>163265.22140712477</v>
      </c>
      <c r="D673" s="102">
        <v>0.21916978195405656</v>
      </c>
    </row>
    <row r="674" spans="2:4" x14ac:dyDescent="0.25">
      <c r="B674" s="61">
        <v>641</v>
      </c>
      <c r="C674" s="61">
        <v>197165.75149510859</v>
      </c>
      <c r="D674" s="102">
        <v>0.23629526833331815</v>
      </c>
    </row>
    <row r="675" spans="2:4" x14ac:dyDescent="0.25">
      <c r="B675" s="61">
        <v>642</v>
      </c>
      <c r="C675" s="61">
        <v>105275.54464159347</v>
      </c>
      <c r="D675" s="102">
        <v>0.1488517641523841</v>
      </c>
    </row>
    <row r="676" spans="2:4" x14ac:dyDescent="0.25">
      <c r="B676" s="61">
        <v>643</v>
      </c>
      <c r="C676" s="61">
        <v>391193.43811137753</v>
      </c>
      <c r="D676" s="102">
        <v>0.33756565016872409</v>
      </c>
    </row>
    <row r="677" spans="2:4" x14ac:dyDescent="0.25">
      <c r="B677" s="61">
        <v>644</v>
      </c>
      <c r="C677" s="61">
        <v>363443.87242611626</v>
      </c>
      <c r="D677" s="102">
        <v>0.32247320735741991</v>
      </c>
    </row>
    <row r="678" spans="2:4" x14ac:dyDescent="0.25">
      <c r="B678" s="61">
        <v>645</v>
      </c>
      <c r="C678" s="61">
        <v>67545.540240483475</v>
      </c>
      <c r="D678" s="102">
        <v>0.10828184724326739</v>
      </c>
    </row>
    <row r="679" spans="2:4" x14ac:dyDescent="0.25">
      <c r="B679" s="61">
        <v>646</v>
      </c>
      <c r="C679" s="61">
        <v>230820.92613794154</v>
      </c>
      <c r="D679" s="102">
        <v>0.22267279462234479</v>
      </c>
    </row>
    <row r="680" spans="2:4" x14ac:dyDescent="0.25">
      <c r="B680" s="61">
        <v>647</v>
      </c>
      <c r="C680" s="61">
        <v>170202.1051232079</v>
      </c>
      <c r="D680" s="102">
        <v>0.20377888636356567</v>
      </c>
    </row>
    <row r="681" spans="2:4" x14ac:dyDescent="0.25">
      <c r="B681" s="61">
        <v>648</v>
      </c>
      <c r="C681" s="61">
        <v>402680.82597501297</v>
      </c>
      <c r="D681" s="102">
        <v>0.37386925004192939</v>
      </c>
    </row>
    <row r="682" spans="2:4" x14ac:dyDescent="0.25">
      <c r="B682" s="61">
        <v>649</v>
      </c>
      <c r="C682" s="61">
        <v>316554.95179786242</v>
      </c>
      <c r="D682" s="102">
        <v>0.29800136195172788</v>
      </c>
    </row>
    <row r="683" spans="2:4" x14ac:dyDescent="0.25">
      <c r="B683" s="61">
        <v>650</v>
      </c>
      <c r="C683" s="61">
        <v>505106.06367870735</v>
      </c>
      <c r="D683" s="102">
        <v>0.36867894464331852</v>
      </c>
    </row>
    <row r="684" spans="2:4" x14ac:dyDescent="0.25">
      <c r="B684" s="61">
        <v>651</v>
      </c>
      <c r="C684" s="61">
        <v>169109.6829627438</v>
      </c>
      <c r="D684" s="102">
        <v>0.16063959821501594</v>
      </c>
    </row>
    <row r="685" spans="2:4" x14ac:dyDescent="0.25">
      <c r="B685" s="61">
        <v>652</v>
      </c>
      <c r="C685" s="61">
        <v>245985.77017034672</v>
      </c>
      <c r="D685" s="102">
        <v>0.28403240668852003</v>
      </c>
    </row>
    <row r="686" spans="2:4" x14ac:dyDescent="0.25">
      <c r="B686" s="61">
        <v>653</v>
      </c>
      <c r="C686" s="61">
        <v>211785.83281968778</v>
      </c>
      <c r="D686" s="102">
        <v>0.20154143666609858</v>
      </c>
    </row>
    <row r="687" spans="2:4" x14ac:dyDescent="0.25">
      <c r="B687" s="61">
        <v>654</v>
      </c>
      <c r="C687" s="61">
        <v>417912.95866860042</v>
      </c>
      <c r="D687" s="102">
        <v>0.41776083797511632</v>
      </c>
    </row>
    <row r="688" spans="2:4" x14ac:dyDescent="0.25">
      <c r="B688" s="61">
        <v>655</v>
      </c>
      <c r="C688" s="61">
        <v>322428.23934644088</v>
      </c>
      <c r="D688" s="102">
        <v>0.37948836295164168</v>
      </c>
    </row>
    <row r="689" spans="2:4" x14ac:dyDescent="0.25">
      <c r="B689" s="61">
        <v>656</v>
      </c>
      <c r="C689" s="61">
        <v>101986.95544494485</v>
      </c>
      <c r="D689" s="102">
        <v>0.15784751876718528</v>
      </c>
    </row>
    <row r="690" spans="2:4" x14ac:dyDescent="0.25">
      <c r="B690" s="61">
        <v>657</v>
      </c>
      <c r="C690" s="61">
        <v>76146.638043268409</v>
      </c>
      <c r="D690" s="102">
        <v>0.12221767636287373</v>
      </c>
    </row>
    <row r="691" spans="2:4" x14ac:dyDescent="0.25">
      <c r="B691" s="61">
        <v>658</v>
      </c>
      <c r="C691" s="61">
        <v>145035.83870660025</v>
      </c>
      <c r="D691" s="102">
        <v>0.15346783495668137</v>
      </c>
    </row>
    <row r="692" spans="2:4" x14ac:dyDescent="0.25">
      <c r="B692" s="61">
        <v>659</v>
      </c>
      <c r="C692" s="61">
        <v>166572.93697722512</v>
      </c>
      <c r="D692" s="102">
        <v>0.22170195931105252</v>
      </c>
    </row>
    <row r="693" spans="2:4" x14ac:dyDescent="0.25">
      <c r="B693" s="61">
        <v>660</v>
      </c>
      <c r="C693" s="61">
        <v>213538.79945370031</v>
      </c>
      <c r="D693" s="102">
        <v>0.22981141183771547</v>
      </c>
    </row>
    <row r="694" spans="2:4" x14ac:dyDescent="0.25">
      <c r="B694" s="61">
        <v>661</v>
      </c>
      <c r="C694" s="61">
        <v>217447.62982669601</v>
      </c>
      <c r="D694" s="102">
        <v>0.2353629554327068</v>
      </c>
    </row>
    <row r="695" spans="2:4" x14ac:dyDescent="0.25">
      <c r="B695" s="61">
        <v>662</v>
      </c>
      <c r="C695" s="61">
        <v>102636.71059088095</v>
      </c>
      <c r="D695" s="102">
        <v>0.12529008843595379</v>
      </c>
    </row>
    <row r="696" spans="2:4" x14ac:dyDescent="0.25">
      <c r="B696" s="61">
        <v>663</v>
      </c>
      <c r="C696" s="61">
        <v>462898.24104135076</v>
      </c>
      <c r="D696" s="102">
        <v>0.37817155604972919</v>
      </c>
    </row>
    <row r="697" spans="2:4" x14ac:dyDescent="0.25">
      <c r="B697" s="61">
        <v>664</v>
      </c>
      <c r="C697" s="61">
        <v>296736.96090505319</v>
      </c>
      <c r="D697" s="102">
        <v>0.30606382276357502</v>
      </c>
    </row>
    <row r="698" spans="2:4" x14ac:dyDescent="0.25">
      <c r="B698" s="61">
        <v>665</v>
      </c>
      <c r="C698" s="61">
        <v>379702.72560752498</v>
      </c>
      <c r="D698" s="102">
        <v>0.32843999905267762</v>
      </c>
    </row>
    <row r="699" spans="2:4" x14ac:dyDescent="0.25">
      <c r="B699" s="61">
        <v>666</v>
      </c>
      <c r="C699" s="61">
        <v>277244.69238717272</v>
      </c>
      <c r="D699" s="102">
        <v>0.25919069480951262</v>
      </c>
    </row>
    <row r="700" spans="2:4" x14ac:dyDescent="0.25">
      <c r="B700" s="61">
        <v>667</v>
      </c>
      <c r="C700" s="61">
        <v>364729.19279210188</v>
      </c>
      <c r="D700" s="102">
        <v>0.28749641791463043</v>
      </c>
    </row>
    <row r="701" spans="2:4" x14ac:dyDescent="0.25">
      <c r="B701" s="61">
        <v>668</v>
      </c>
      <c r="C701" s="61">
        <v>198282.28629570291</v>
      </c>
      <c r="D701" s="102">
        <v>0.21648479436812251</v>
      </c>
    </row>
    <row r="702" spans="2:4" x14ac:dyDescent="0.25">
      <c r="B702" s="61">
        <v>669</v>
      </c>
      <c r="C702" s="61">
        <v>273411.40389871807</v>
      </c>
      <c r="D702" s="102">
        <v>0.32910496879209616</v>
      </c>
    </row>
    <row r="703" spans="2:4" x14ac:dyDescent="0.25">
      <c r="B703" s="61">
        <v>670</v>
      </c>
      <c r="C703" s="61">
        <v>448632.73806833162</v>
      </c>
      <c r="D703" s="102">
        <v>0.41714258775019974</v>
      </c>
    </row>
    <row r="704" spans="2:4" x14ac:dyDescent="0.25">
      <c r="B704" s="61">
        <v>671</v>
      </c>
      <c r="C704" s="61">
        <v>418909.8238379244</v>
      </c>
      <c r="D704" s="102">
        <v>0.41525000308630378</v>
      </c>
    </row>
    <row r="705" spans="2:4" x14ac:dyDescent="0.25">
      <c r="B705" s="61">
        <v>672</v>
      </c>
      <c r="C705" s="61">
        <v>213489.32897175546</v>
      </c>
      <c r="D705" s="102">
        <v>0.22311651128752419</v>
      </c>
    </row>
    <row r="706" spans="2:4" x14ac:dyDescent="0.25">
      <c r="B706" s="61">
        <v>673</v>
      </c>
      <c r="C706" s="61">
        <v>248486.90717818937</v>
      </c>
      <c r="D706" s="102">
        <v>0.22226147745810176</v>
      </c>
    </row>
    <row r="707" spans="2:4" x14ac:dyDescent="0.25">
      <c r="B707" s="61">
        <v>674</v>
      </c>
      <c r="C707" s="61">
        <v>128517.92132795375</v>
      </c>
      <c r="D707" s="102">
        <v>0.16511603782214235</v>
      </c>
    </row>
    <row r="708" spans="2:4" x14ac:dyDescent="0.25">
      <c r="B708" s="61">
        <v>675</v>
      </c>
      <c r="C708" s="61">
        <v>368989.90558180446</v>
      </c>
      <c r="D708" s="102">
        <v>0.32037264192441173</v>
      </c>
    </row>
    <row r="709" spans="2:4" x14ac:dyDescent="0.25">
      <c r="B709" s="61">
        <v>676</v>
      </c>
      <c r="C709" s="61">
        <v>381144.17752011283</v>
      </c>
      <c r="D709" s="102">
        <v>0.33047682658685584</v>
      </c>
    </row>
    <row r="710" spans="2:4" x14ac:dyDescent="0.25">
      <c r="B710" s="61">
        <v>677</v>
      </c>
      <c r="C710" s="61">
        <v>326435.23846558377</v>
      </c>
      <c r="D710" s="102">
        <v>0.32133124076841457</v>
      </c>
    </row>
    <row r="711" spans="2:4" x14ac:dyDescent="0.25">
      <c r="B711" s="61">
        <v>678</v>
      </c>
      <c r="C711" s="61">
        <v>221442.72855809086</v>
      </c>
      <c r="D711" s="102">
        <v>0.23272756844096709</v>
      </c>
    </row>
    <row r="712" spans="2:4" x14ac:dyDescent="0.25">
      <c r="B712" s="61">
        <v>679</v>
      </c>
      <c r="C712" s="61">
        <v>-23885.145770992385</v>
      </c>
      <c r="D712" s="102">
        <v>4.1878169661621056E-2</v>
      </c>
    </row>
    <row r="713" spans="2:4" x14ac:dyDescent="0.25">
      <c r="B713" s="61">
        <v>680</v>
      </c>
      <c r="C713" s="61">
        <v>212867.54114096938</v>
      </c>
      <c r="D713" s="102">
        <v>0.22466681621374884</v>
      </c>
    </row>
    <row r="714" spans="2:4" x14ac:dyDescent="0.25">
      <c r="B714" s="61">
        <v>681</v>
      </c>
      <c r="C714" s="61">
        <v>280021.05596869416</v>
      </c>
      <c r="D714" s="102">
        <v>0.35111950939058012</v>
      </c>
    </row>
    <row r="715" spans="2:4" x14ac:dyDescent="0.25">
      <c r="B715" s="61">
        <v>682</v>
      </c>
      <c r="C715" s="61">
        <v>183697.92133166874</v>
      </c>
      <c r="D715" s="102">
        <v>0.19501473468165154</v>
      </c>
    </row>
    <row r="716" spans="2:4" x14ac:dyDescent="0.25">
      <c r="B716" s="61">
        <v>683</v>
      </c>
      <c r="C716" s="61">
        <v>220935.23710075079</v>
      </c>
      <c r="D716" s="102">
        <v>0.21248319866138399</v>
      </c>
    </row>
    <row r="717" spans="2:4" x14ac:dyDescent="0.25">
      <c r="B717" s="61">
        <v>684</v>
      </c>
      <c r="C717" s="61">
        <v>276191.58054379828</v>
      </c>
      <c r="D717" s="102">
        <v>0.26253323575036558</v>
      </c>
    </row>
    <row r="718" spans="2:4" x14ac:dyDescent="0.25">
      <c r="B718" s="61">
        <v>685</v>
      </c>
      <c r="C718" s="61">
        <v>217167.16859972349</v>
      </c>
      <c r="D718" s="102">
        <v>0.22752489212992555</v>
      </c>
    </row>
    <row r="719" spans="2:4" x14ac:dyDescent="0.25">
      <c r="B719" s="61">
        <v>686</v>
      </c>
      <c r="C719" s="61">
        <v>53969.012814262358</v>
      </c>
      <c r="D719" s="102">
        <v>0.10702812247154658</v>
      </c>
    </row>
    <row r="720" spans="2:4" x14ac:dyDescent="0.25">
      <c r="B720" s="61">
        <v>687</v>
      </c>
      <c r="C720" s="61">
        <v>191141.79212055227</v>
      </c>
      <c r="D720" s="102">
        <v>0.2514242133005089</v>
      </c>
    </row>
    <row r="721" spans="2:4" x14ac:dyDescent="0.25">
      <c r="B721" s="61">
        <v>688</v>
      </c>
      <c r="C721" s="61">
        <v>22987.759336479998</v>
      </c>
      <c r="D721" s="102">
        <v>8.0892606390552846E-2</v>
      </c>
    </row>
    <row r="722" spans="2:4" x14ac:dyDescent="0.25">
      <c r="B722" s="61">
        <v>689</v>
      </c>
      <c r="C722" s="61">
        <v>427989.87496278028</v>
      </c>
      <c r="D722" s="102">
        <v>0.33829535526995125</v>
      </c>
    </row>
    <row r="723" spans="2:4" x14ac:dyDescent="0.25">
      <c r="B723" s="61">
        <v>690</v>
      </c>
      <c r="C723" s="61">
        <v>147983.82943684596</v>
      </c>
      <c r="D723" s="102">
        <v>0.15779648419662795</v>
      </c>
    </row>
    <row r="724" spans="2:4" x14ac:dyDescent="0.25">
      <c r="B724" s="61">
        <v>691</v>
      </c>
      <c r="C724" s="61">
        <v>418655.85264604655</v>
      </c>
      <c r="D724" s="102">
        <v>0.40687286575601811</v>
      </c>
    </row>
    <row r="725" spans="2:4" x14ac:dyDescent="0.25">
      <c r="B725" s="61">
        <v>692</v>
      </c>
      <c r="C725" s="61">
        <v>198853.4136622455</v>
      </c>
      <c r="D725" s="102">
        <v>0.29297229183546936</v>
      </c>
    </row>
    <row r="726" spans="2:4" x14ac:dyDescent="0.25">
      <c r="B726" s="61">
        <v>693</v>
      </c>
      <c r="C726" s="61">
        <v>416221.85382708546</v>
      </c>
      <c r="D726" s="102">
        <v>0.40522937167744932</v>
      </c>
    </row>
    <row r="727" spans="2:4" x14ac:dyDescent="0.25">
      <c r="B727" s="61">
        <v>694</v>
      </c>
      <c r="C727" s="61">
        <v>288237.66777502152</v>
      </c>
      <c r="D727" s="102">
        <v>0.26600716503744404</v>
      </c>
    </row>
    <row r="728" spans="2:4" x14ac:dyDescent="0.25">
      <c r="B728" s="61">
        <v>695</v>
      </c>
      <c r="C728" s="61">
        <v>168841.04368776933</v>
      </c>
      <c r="D728" s="102">
        <v>0.19448283227772922</v>
      </c>
    </row>
    <row r="729" spans="2:4" x14ac:dyDescent="0.25">
      <c r="B729" s="61">
        <v>696</v>
      </c>
      <c r="C729" s="61">
        <v>-8791.0222737414879</v>
      </c>
      <c r="D729" s="102">
        <v>5.5925042351924192E-2</v>
      </c>
    </row>
    <row r="730" spans="2:4" x14ac:dyDescent="0.25">
      <c r="B730" s="61">
        <v>697</v>
      </c>
      <c r="C730" s="61">
        <v>274271.52233839489</v>
      </c>
      <c r="D730" s="102">
        <v>0.25411096018092394</v>
      </c>
    </row>
    <row r="731" spans="2:4" x14ac:dyDescent="0.25">
      <c r="B731" s="61">
        <v>698</v>
      </c>
      <c r="C731" s="61">
        <v>-124870.49438430648</v>
      </c>
      <c r="D731" s="102">
        <v>-7.0737834675387856E-2</v>
      </c>
    </row>
    <row r="732" spans="2:4" x14ac:dyDescent="0.25">
      <c r="B732" s="61">
        <v>699</v>
      </c>
      <c r="C732" s="61">
        <v>263500.48810081626</v>
      </c>
      <c r="D732" s="102">
        <v>0.24060912364121312</v>
      </c>
    </row>
    <row r="733" spans="2:4" x14ac:dyDescent="0.25">
      <c r="B733" s="61">
        <v>700</v>
      </c>
      <c r="C733" s="61">
        <v>358258.10770015651</v>
      </c>
      <c r="D733" s="102">
        <v>0.31487660576426046</v>
      </c>
    </row>
    <row r="734" spans="2:4" x14ac:dyDescent="0.25">
      <c r="B734" s="61">
        <v>701</v>
      </c>
      <c r="C734" s="61">
        <v>147660.6810728499</v>
      </c>
      <c r="D734" s="102">
        <v>0.17903934051313186</v>
      </c>
    </row>
    <row r="735" spans="2:4" x14ac:dyDescent="0.25">
      <c r="B735" s="61">
        <v>702</v>
      </c>
      <c r="C735" s="61">
        <v>162745.30179267656</v>
      </c>
      <c r="D735" s="102">
        <v>0.22442715417616266</v>
      </c>
    </row>
    <row r="736" spans="2:4" x14ac:dyDescent="0.25">
      <c r="B736" s="61">
        <v>703</v>
      </c>
      <c r="C736" s="61">
        <v>321110.90353791614</v>
      </c>
      <c r="D736" s="102">
        <v>0.27773109891982495</v>
      </c>
    </row>
    <row r="737" spans="2:4" x14ac:dyDescent="0.25">
      <c r="B737" s="61">
        <v>704</v>
      </c>
      <c r="C737" s="61">
        <v>283680.31043336936</v>
      </c>
      <c r="D737" s="102">
        <v>0.30851898782587894</v>
      </c>
    </row>
    <row r="738" spans="2:4" x14ac:dyDescent="0.25">
      <c r="B738" s="61">
        <v>705</v>
      </c>
      <c r="C738" s="61">
        <v>240435.45099874376</v>
      </c>
      <c r="D738" s="102">
        <v>0.23321055909273358</v>
      </c>
    </row>
    <row r="739" spans="2:4" x14ac:dyDescent="0.25">
      <c r="B739" s="61">
        <v>706</v>
      </c>
      <c r="C739" s="61">
        <v>197843.86025286163</v>
      </c>
      <c r="D739" s="102">
        <v>0.20426145475427337</v>
      </c>
    </row>
    <row r="740" spans="2:4" x14ac:dyDescent="0.25">
      <c r="B740" s="61">
        <v>707</v>
      </c>
      <c r="C740" s="61">
        <v>296700.92828792054</v>
      </c>
      <c r="D740" s="102">
        <v>0.33768995887705278</v>
      </c>
    </row>
    <row r="741" spans="2:4" x14ac:dyDescent="0.25">
      <c r="B741" s="61">
        <v>708</v>
      </c>
      <c r="C741" s="61">
        <v>211861.97176460933</v>
      </c>
      <c r="D741" s="102">
        <v>0.29728998947081897</v>
      </c>
    </row>
    <row r="742" spans="2:4" x14ac:dyDescent="0.25">
      <c r="B742" s="61">
        <v>709</v>
      </c>
      <c r="C742" s="61">
        <v>504816.18794077076</v>
      </c>
      <c r="D742" s="102">
        <v>0.44167366515712825</v>
      </c>
    </row>
    <row r="743" spans="2:4" x14ac:dyDescent="0.25">
      <c r="B743" s="61">
        <v>710</v>
      </c>
      <c r="C743" s="61">
        <v>231821.78262316948</v>
      </c>
      <c r="D743" s="102">
        <v>0.25643453930417559</v>
      </c>
    </row>
    <row r="744" spans="2:4" x14ac:dyDescent="0.25">
      <c r="B744" s="61">
        <v>711</v>
      </c>
      <c r="C744" s="61">
        <v>49698.001022116106</v>
      </c>
      <c r="D744" s="102">
        <v>9.9239692054392314E-2</v>
      </c>
    </row>
    <row r="745" spans="2:4" x14ac:dyDescent="0.25">
      <c r="B745" s="61">
        <v>712</v>
      </c>
      <c r="C745" s="61">
        <v>-12384.972158871533</v>
      </c>
      <c r="D745" s="102">
        <v>5.0353693041193193E-2</v>
      </c>
    </row>
    <row r="746" spans="2:4" x14ac:dyDescent="0.25">
      <c r="B746" s="61">
        <v>713</v>
      </c>
      <c r="C746" s="61">
        <v>309827.73114208004</v>
      </c>
      <c r="D746" s="102">
        <v>0.35816714429288288</v>
      </c>
    </row>
    <row r="747" spans="2:4" x14ac:dyDescent="0.25">
      <c r="B747" s="61">
        <v>714</v>
      </c>
      <c r="C747" s="61">
        <v>350519.16189144028</v>
      </c>
      <c r="D747" s="102">
        <v>0.3314874953851088</v>
      </c>
    </row>
    <row r="748" spans="2:4" x14ac:dyDescent="0.25">
      <c r="B748" s="61">
        <v>715</v>
      </c>
      <c r="C748" s="61">
        <v>131980.6773717372</v>
      </c>
      <c r="D748" s="102">
        <v>0.17144583305008809</v>
      </c>
    </row>
    <row r="749" spans="2:4" x14ac:dyDescent="0.25">
      <c r="B749" s="61">
        <v>716</v>
      </c>
      <c r="C749" s="61">
        <v>122875.86042371474</v>
      </c>
      <c r="D749" s="102">
        <v>0.16558721622645045</v>
      </c>
    </row>
    <row r="750" spans="2:4" x14ac:dyDescent="0.25">
      <c r="B750" s="61">
        <v>717</v>
      </c>
      <c r="C750" s="61">
        <v>314849.02026420552</v>
      </c>
      <c r="D750" s="102">
        <v>0.33348787736271102</v>
      </c>
    </row>
    <row r="751" spans="2:4" x14ac:dyDescent="0.25">
      <c r="B751" s="61">
        <v>718</v>
      </c>
      <c r="C751" s="61">
        <v>81025.522171561315</v>
      </c>
      <c r="D751" s="102">
        <v>0.14025567742102729</v>
      </c>
    </row>
    <row r="752" spans="2:4" x14ac:dyDescent="0.25">
      <c r="B752" s="61">
        <v>719</v>
      </c>
      <c r="C752" s="61">
        <v>-2688.5942635536776</v>
      </c>
      <c r="D752" s="102">
        <v>6.1090633711916142E-2</v>
      </c>
    </row>
    <row r="753" spans="2:4" x14ac:dyDescent="0.25">
      <c r="B753" s="61">
        <v>720</v>
      </c>
      <c r="C753" s="61">
        <v>45672.429978217231</v>
      </c>
      <c r="D753" s="102">
        <v>9.1017743392535655E-2</v>
      </c>
    </row>
    <row r="754" spans="2:4" x14ac:dyDescent="0.25">
      <c r="B754" s="61">
        <v>721</v>
      </c>
      <c r="C754" s="61">
        <v>271981.73295750213</v>
      </c>
      <c r="D754" s="102">
        <v>0.24864886785827034</v>
      </c>
    </row>
    <row r="755" spans="2:4" x14ac:dyDescent="0.25">
      <c r="B755" s="61">
        <v>722</v>
      </c>
      <c r="C755" s="61">
        <v>195815.33055434842</v>
      </c>
      <c r="D755" s="102">
        <v>0.21323151989928535</v>
      </c>
    </row>
    <row r="756" spans="2:4" x14ac:dyDescent="0.25">
      <c r="B756" s="61">
        <v>723</v>
      </c>
      <c r="C756" s="61">
        <v>172077.47783225065</v>
      </c>
      <c r="D756" s="102">
        <v>0.21073663089884764</v>
      </c>
    </row>
    <row r="757" spans="2:4" x14ac:dyDescent="0.25">
      <c r="B757" s="61">
        <v>724</v>
      </c>
      <c r="C757" s="61">
        <v>125452.27163674921</v>
      </c>
      <c r="D757" s="102">
        <v>0.13829644431689569</v>
      </c>
    </row>
    <row r="758" spans="2:4" x14ac:dyDescent="0.25">
      <c r="B758" s="61">
        <v>725</v>
      </c>
      <c r="C758" s="61">
        <v>232599.23855339433</v>
      </c>
      <c r="D758" s="102">
        <v>0.23010546706700263</v>
      </c>
    </row>
    <row r="759" spans="2:4" x14ac:dyDescent="0.25">
      <c r="B759" s="61">
        <v>726</v>
      </c>
      <c r="C759" s="61">
        <v>420611.18805620272</v>
      </c>
      <c r="D759" s="102">
        <v>0.36880029129432979</v>
      </c>
    </row>
    <row r="760" spans="2:4" x14ac:dyDescent="0.25">
      <c r="B760" s="61">
        <v>727</v>
      </c>
      <c r="C760" s="61">
        <v>302959.45608961454</v>
      </c>
      <c r="D760" s="102">
        <v>0.29831162240968045</v>
      </c>
    </row>
    <row r="761" spans="2:4" x14ac:dyDescent="0.25">
      <c r="B761" s="61">
        <v>728</v>
      </c>
      <c r="C761" s="61">
        <v>176384.49732088798</v>
      </c>
      <c r="D761" s="102">
        <v>0.23733592160661665</v>
      </c>
    </row>
    <row r="762" spans="2:4" x14ac:dyDescent="0.25">
      <c r="B762" s="61">
        <v>729</v>
      </c>
      <c r="C762" s="61">
        <v>149733.83330850827</v>
      </c>
      <c r="D762" s="102">
        <v>0.20046307041895095</v>
      </c>
    </row>
    <row r="763" spans="2:4" x14ac:dyDescent="0.25">
      <c r="B763" s="61">
        <v>730</v>
      </c>
      <c r="C763" s="61">
        <v>508205.7158602305</v>
      </c>
      <c r="D763" s="102">
        <v>0.4240425729841637</v>
      </c>
    </row>
    <row r="764" spans="2:4" x14ac:dyDescent="0.25">
      <c r="B764" s="61">
        <v>731</v>
      </c>
      <c r="C764" s="61">
        <v>-35977.94907808397</v>
      </c>
      <c r="D764" s="102">
        <v>1.9447175750648471E-2</v>
      </c>
    </row>
    <row r="765" spans="2:4" x14ac:dyDescent="0.25">
      <c r="B765" s="61">
        <v>732</v>
      </c>
      <c r="C765" s="61">
        <v>143981.41172309808</v>
      </c>
      <c r="D765" s="102">
        <v>0.2082622121529023</v>
      </c>
    </row>
    <row r="766" spans="2:4" x14ac:dyDescent="0.25">
      <c r="B766" s="61">
        <v>733</v>
      </c>
      <c r="C766" s="61">
        <v>202717.55396535294</v>
      </c>
      <c r="D766" s="102">
        <v>0.24808510673556405</v>
      </c>
    </row>
    <row r="767" spans="2:4" x14ac:dyDescent="0.25">
      <c r="B767" s="61">
        <v>734</v>
      </c>
      <c r="C767" s="61">
        <v>66435.502514004125</v>
      </c>
      <c r="D767" s="102">
        <v>0.10916477985477391</v>
      </c>
    </row>
    <row r="768" spans="2:4" x14ac:dyDescent="0.25">
      <c r="B768" s="61">
        <v>735</v>
      </c>
      <c r="C768" s="61">
        <v>206887.17892144201</v>
      </c>
      <c r="D768" s="102">
        <v>0.2413176709067768</v>
      </c>
    </row>
    <row r="769" spans="2:4" x14ac:dyDescent="0.25">
      <c r="B769" s="61">
        <v>736</v>
      </c>
      <c r="C769" s="61">
        <v>199411.41408183775</v>
      </c>
      <c r="D769" s="102">
        <v>0.1878380045855379</v>
      </c>
    </row>
    <row r="770" spans="2:4" x14ac:dyDescent="0.25">
      <c r="B770" s="61">
        <v>737</v>
      </c>
      <c r="C770" s="61">
        <v>445071.35313020507</v>
      </c>
      <c r="D770" s="102">
        <v>0.42427480608412971</v>
      </c>
    </row>
    <row r="771" spans="2:4" x14ac:dyDescent="0.25">
      <c r="B771" s="61">
        <v>738</v>
      </c>
      <c r="C771" s="61">
        <v>604656.2568102337</v>
      </c>
      <c r="D771" s="102">
        <v>0.5861676865299783</v>
      </c>
    </row>
    <row r="772" spans="2:4" x14ac:dyDescent="0.25">
      <c r="B772" s="61">
        <v>739</v>
      </c>
      <c r="C772" s="61">
        <v>309733.95276438841</v>
      </c>
      <c r="D772" s="102">
        <v>0.28972463275244542</v>
      </c>
    </row>
    <row r="773" spans="2:4" x14ac:dyDescent="0.25">
      <c r="B773" s="61">
        <v>740</v>
      </c>
      <c r="C773" s="61">
        <v>202219.65822625672</v>
      </c>
      <c r="D773" s="102">
        <v>0.21841918248155756</v>
      </c>
    </row>
    <row r="774" spans="2:4" x14ac:dyDescent="0.25">
      <c r="B774" s="61">
        <v>741</v>
      </c>
      <c r="C774" s="61">
        <v>332013.31673352665</v>
      </c>
      <c r="D774" s="102">
        <v>0.32652026993952843</v>
      </c>
    </row>
    <row r="775" spans="2:4" x14ac:dyDescent="0.25">
      <c r="B775" s="61">
        <v>742</v>
      </c>
      <c r="C775" s="61">
        <v>309679.72276788088</v>
      </c>
      <c r="D775" s="102">
        <v>0.28280430523506217</v>
      </c>
    </row>
    <row r="776" spans="2:4" x14ac:dyDescent="0.25">
      <c r="B776" s="61">
        <v>743</v>
      </c>
      <c r="C776" s="61">
        <v>408063.27417630248</v>
      </c>
      <c r="D776" s="102">
        <v>0.36308410221629006</v>
      </c>
    </row>
    <row r="777" spans="2:4" x14ac:dyDescent="0.25">
      <c r="B777" s="61">
        <v>744</v>
      </c>
      <c r="C777" s="61">
        <v>275130.09458116721</v>
      </c>
      <c r="D777" s="102">
        <v>0.26145454248020772</v>
      </c>
    </row>
    <row r="778" spans="2:4" x14ac:dyDescent="0.25">
      <c r="B778" s="61">
        <v>745</v>
      </c>
      <c r="C778" s="61">
        <v>209073.78670571512</v>
      </c>
      <c r="D778" s="102">
        <v>0.29096322118690332</v>
      </c>
    </row>
    <row r="779" spans="2:4" x14ac:dyDescent="0.25">
      <c r="B779" s="61">
        <v>746</v>
      </c>
      <c r="C779" s="61">
        <v>236620.08134246815</v>
      </c>
      <c r="D779" s="102">
        <v>0.224062752082687</v>
      </c>
    </row>
    <row r="780" spans="2:4" x14ac:dyDescent="0.25">
      <c r="B780" s="61">
        <v>747</v>
      </c>
      <c r="C780" s="61">
        <v>256444.3548552182</v>
      </c>
      <c r="D780" s="102">
        <v>0.26793612373968001</v>
      </c>
    </row>
    <row r="781" spans="2:4" x14ac:dyDescent="0.25">
      <c r="B781" s="61">
        <v>748</v>
      </c>
      <c r="C781" s="61">
        <v>325494.66227876558</v>
      </c>
      <c r="D781" s="102">
        <v>0.28360815509931259</v>
      </c>
    </row>
    <row r="782" spans="2:4" x14ac:dyDescent="0.25">
      <c r="B782" s="61">
        <v>749</v>
      </c>
      <c r="C782" s="61">
        <v>296829.17128923791</v>
      </c>
      <c r="D782" s="102">
        <v>0.26940502730236382</v>
      </c>
    </row>
    <row r="783" spans="2:4" x14ac:dyDescent="0.25">
      <c r="B783" s="61">
        <v>750</v>
      </c>
      <c r="C783" s="61">
        <v>407204.72338812181</v>
      </c>
      <c r="D783" s="102">
        <v>0.40628514622058542</v>
      </c>
    </row>
    <row r="784" spans="2:4" x14ac:dyDescent="0.25">
      <c r="B784" s="61">
        <v>751</v>
      </c>
      <c r="C784" s="61">
        <v>345750.74929932319</v>
      </c>
      <c r="D784" s="102">
        <v>0.35540466834779405</v>
      </c>
    </row>
    <row r="785" spans="2:4" x14ac:dyDescent="0.25">
      <c r="B785" s="61">
        <v>752</v>
      </c>
      <c r="C785" s="61">
        <v>159149.14231229841</v>
      </c>
      <c r="D785" s="102">
        <v>0.17903900175777587</v>
      </c>
    </row>
    <row r="786" spans="2:4" x14ac:dyDescent="0.25">
      <c r="B786" s="61">
        <v>753</v>
      </c>
      <c r="C786" s="61">
        <v>366905.9059952246</v>
      </c>
      <c r="D786" s="102">
        <v>0.30031811923926455</v>
      </c>
    </row>
    <row r="787" spans="2:4" x14ac:dyDescent="0.25">
      <c r="B787" s="61">
        <v>754</v>
      </c>
      <c r="C787" s="61">
        <v>446359.11371360254</v>
      </c>
      <c r="D787" s="102">
        <v>0.40561844565894001</v>
      </c>
    </row>
    <row r="788" spans="2:4" x14ac:dyDescent="0.25">
      <c r="B788" s="61">
        <v>755</v>
      </c>
      <c r="C788" s="61">
        <v>382956.52339935745</v>
      </c>
      <c r="D788" s="102">
        <v>0.3505887886109853</v>
      </c>
    </row>
    <row r="789" spans="2:4" x14ac:dyDescent="0.25">
      <c r="B789" s="61">
        <v>756</v>
      </c>
      <c r="C789" s="61">
        <v>279023.38431790844</v>
      </c>
      <c r="D789" s="102">
        <v>0.30408648790456727</v>
      </c>
    </row>
    <row r="790" spans="2:4" x14ac:dyDescent="0.25">
      <c r="B790" s="61">
        <v>757</v>
      </c>
      <c r="C790" s="61">
        <v>217572.43820526183</v>
      </c>
      <c r="D790" s="102">
        <v>0.21992141686238242</v>
      </c>
    </row>
    <row r="791" spans="2:4" x14ac:dyDescent="0.25">
      <c r="B791" s="61">
        <v>758</v>
      </c>
      <c r="C791" s="61">
        <v>378165.10104454902</v>
      </c>
      <c r="D791" s="102">
        <v>0.36109729897117893</v>
      </c>
    </row>
    <row r="792" spans="2:4" x14ac:dyDescent="0.25">
      <c r="B792" s="61">
        <v>759</v>
      </c>
      <c r="C792" s="61">
        <v>294879.09775882086</v>
      </c>
      <c r="D792" s="102">
        <v>0.32238635739211463</v>
      </c>
    </row>
    <row r="793" spans="2:4" x14ac:dyDescent="0.25">
      <c r="B793" s="61">
        <v>760</v>
      </c>
      <c r="C793" s="61">
        <v>376666.99521538022</v>
      </c>
      <c r="D793" s="102">
        <v>0.40413807279345759</v>
      </c>
    </row>
    <row r="794" spans="2:4" x14ac:dyDescent="0.25">
      <c r="B794" s="61">
        <v>761</v>
      </c>
      <c r="C794" s="61">
        <v>439409.59028453066</v>
      </c>
      <c r="D794" s="102">
        <v>0.43183683059560862</v>
      </c>
    </row>
    <row r="795" spans="2:4" x14ac:dyDescent="0.25">
      <c r="B795" s="61">
        <v>762</v>
      </c>
      <c r="C795" s="61">
        <v>345661.84832835093</v>
      </c>
      <c r="D795" s="102">
        <v>0.35922893292248848</v>
      </c>
    </row>
    <row r="796" spans="2:4" x14ac:dyDescent="0.25">
      <c r="B796" s="61">
        <v>763</v>
      </c>
      <c r="C796" s="61">
        <v>390621.89813057042</v>
      </c>
      <c r="D796" s="102">
        <v>0.32312981262923768</v>
      </c>
    </row>
    <row r="797" spans="2:4" x14ac:dyDescent="0.25">
      <c r="B797" s="61">
        <v>764</v>
      </c>
      <c r="C797" s="61">
        <v>130558.90358183009</v>
      </c>
      <c r="D797" s="102">
        <v>0.15294056840468317</v>
      </c>
    </row>
    <row r="798" spans="2:4" x14ac:dyDescent="0.25">
      <c r="B798" s="61">
        <v>765</v>
      </c>
      <c r="C798" s="61">
        <v>270013.75659927446</v>
      </c>
      <c r="D798" s="102">
        <v>0.29403951823333041</v>
      </c>
    </row>
    <row r="799" spans="2:4" x14ac:dyDescent="0.25">
      <c r="B799" s="61">
        <v>766</v>
      </c>
      <c r="C799" s="61">
        <v>395456.72963692469</v>
      </c>
      <c r="D799" s="102">
        <v>0.35744857027649335</v>
      </c>
    </row>
    <row r="800" spans="2:4" x14ac:dyDescent="0.25">
      <c r="B800" s="61">
        <v>767</v>
      </c>
      <c r="C800" s="61">
        <v>450498.3937221712</v>
      </c>
      <c r="D800" s="102">
        <v>0.30376695556421729</v>
      </c>
    </row>
    <row r="801" spans="2:4" x14ac:dyDescent="0.25">
      <c r="B801" s="61">
        <v>768</v>
      </c>
      <c r="C801" s="61">
        <v>322994.14376137115</v>
      </c>
      <c r="D801" s="102">
        <v>0.32976498531493759</v>
      </c>
    </row>
    <row r="802" spans="2:4" x14ac:dyDescent="0.25">
      <c r="B802" s="61">
        <v>769</v>
      </c>
      <c r="C802" s="61">
        <v>63149.733189830615</v>
      </c>
      <c r="D802" s="102">
        <v>0.11047909302483161</v>
      </c>
    </row>
    <row r="803" spans="2:4" x14ac:dyDescent="0.25">
      <c r="B803" s="61">
        <v>770</v>
      </c>
      <c r="C803" s="61">
        <v>149987.93884567812</v>
      </c>
      <c r="D803" s="102">
        <v>0.19070842849507752</v>
      </c>
    </row>
    <row r="804" spans="2:4" x14ac:dyDescent="0.25">
      <c r="B804" s="61">
        <v>771</v>
      </c>
      <c r="C804" s="61">
        <v>79996.455586984754</v>
      </c>
      <c r="D804" s="102">
        <v>0.1352587586516345</v>
      </c>
    </row>
    <row r="805" spans="2:4" x14ac:dyDescent="0.25">
      <c r="B805" s="61">
        <v>772</v>
      </c>
      <c r="C805" s="61">
        <v>396681.87435090821</v>
      </c>
      <c r="D805" s="102">
        <v>0.33352134325449811</v>
      </c>
    </row>
    <row r="806" spans="2:4" x14ac:dyDescent="0.25">
      <c r="B806" s="61">
        <v>773</v>
      </c>
      <c r="C806" s="61">
        <v>471688.21671290719</v>
      </c>
      <c r="D806" s="102">
        <v>0.37594046498077294</v>
      </c>
    </row>
    <row r="807" spans="2:4" x14ac:dyDescent="0.25">
      <c r="B807" s="61">
        <v>774</v>
      </c>
      <c r="C807" s="61">
        <v>44260.975469564437</v>
      </c>
      <c r="D807" s="102">
        <v>0.10768747411456414</v>
      </c>
    </row>
    <row r="808" spans="2:4" x14ac:dyDescent="0.25">
      <c r="B808" s="61">
        <v>775</v>
      </c>
      <c r="C808" s="61">
        <v>215308.69159787358</v>
      </c>
      <c r="D808" s="102">
        <v>0.22911478429472765</v>
      </c>
    </row>
    <row r="809" spans="2:4" x14ac:dyDescent="0.25">
      <c r="B809" s="61">
        <v>776</v>
      </c>
      <c r="C809" s="61">
        <v>349523.23483702098</v>
      </c>
      <c r="D809" s="102">
        <v>0.3152353768011249</v>
      </c>
    </row>
    <row r="810" spans="2:4" x14ac:dyDescent="0.25">
      <c r="B810" s="61">
        <v>777</v>
      </c>
      <c r="C810" s="61">
        <v>117902.39817872114</v>
      </c>
      <c r="D810" s="102">
        <v>0.15207251276784994</v>
      </c>
    </row>
    <row r="811" spans="2:4" x14ac:dyDescent="0.25">
      <c r="B811" s="61">
        <v>778</v>
      </c>
      <c r="C811" s="61">
        <v>82024.430899400788</v>
      </c>
      <c r="D811" s="102">
        <v>0.13579434576911131</v>
      </c>
    </row>
    <row r="812" spans="2:4" x14ac:dyDescent="0.25">
      <c r="B812" s="61">
        <v>779</v>
      </c>
      <c r="C812" s="61">
        <v>232471.90693100379</v>
      </c>
      <c r="D812" s="102">
        <v>0.31198458258346129</v>
      </c>
    </row>
    <row r="813" spans="2:4" x14ac:dyDescent="0.25">
      <c r="B813" s="61">
        <v>780</v>
      </c>
      <c r="C813" s="61">
        <v>181856.94118997431</v>
      </c>
      <c r="D813" s="102">
        <v>0.25603074637950662</v>
      </c>
    </row>
    <row r="814" spans="2:4" x14ac:dyDescent="0.25">
      <c r="B814" s="61">
        <v>781</v>
      </c>
      <c r="C814" s="61">
        <v>275422.00627657329</v>
      </c>
      <c r="D814" s="102">
        <v>0.27312068887074581</v>
      </c>
    </row>
    <row r="815" spans="2:4" x14ac:dyDescent="0.25">
      <c r="B815" s="61">
        <v>782</v>
      </c>
      <c r="C815" s="61">
        <v>317825.433465173</v>
      </c>
      <c r="D815" s="102">
        <v>0.33624913207861051</v>
      </c>
    </row>
    <row r="816" spans="2:4" x14ac:dyDescent="0.25">
      <c r="B816" s="61">
        <v>783</v>
      </c>
      <c r="C816" s="61">
        <v>356996.4813957361</v>
      </c>
      <c r="D816" s="102">
        <v>0.38578760724527861</v>
      </c>
    </row>
    <row r="817" spans="2:4" x14ac:dyDescent="0.25">
      <c r="B817" s="61">
        <v>784</v>
      </c>
      <c r="C817" s="61">
        <v>302787.2953237131</v>
      </c>
      <c r="D817" s="102">
        <v>0.2804142364110922</v>
      </c>
    </row>
    <row r="818" spans="2:4" x14ac:dyDescent="0.25">
      <c r="B818" s="61">
        <v>785</v>
      </c>
      <c r="C818" s="61">
        <v>337960.89108872972</v>
      </c>
      <c r="D818" s="102">
        <v>0.32827629535518654</v>
      </c>
    </row>
    <row r="819" spans="2:4" x14ac:dyDescent="0.25">
      <c r="B819" s="61">
        <v>786</v>
      </c>
      <c r="C819" s="61">
        <v>367307.22806977294</v>
      </c>
      <c r="D819" s="102">
        <v>0.35552443196448169</v>
      </c>
    </row>
    <row r="820" spans="2:4" x14ac:dyDescent="0.25">
      <c r="B820" s="61">
        <v>787</v>
      </c>
      <c r="C820" s="61">
        <v>276218.98285850009</v>
      </c>
      <c r="D820" s="102">
        <v>0.29844167505097996</v>
      </c>
    </row>
    <row r="821" spans="2:4" x14ac:dyDescent="0.25">
      <c r="B821" s="61">
        <v>788</v>
      </c>
      <c r="C821" s="61">
        <v>116336.69930184691</v>
      </c>
      <c r="D821" s="102">
        <v>0.17508263462706508</v>
      </c>
    </row>
    <row r="822" spans="2:4" x14ac:dyDescent="0.25">
      <c r="B822" s="61">
        <v>789</v>
      </c>
      <c r="C822" s="61">
        <v>319715.43939178262</v>
      </c>
      <c r="D822" s="102">
        <v>0.32227259626858906</v>
      </c>
    </row>
    <row r="823" spans="2:4" x14ac:dyDescent="0.25">
      <c r="B823" s="61">
        <v>790</v>
      </c>
      <c r="C823" s="61">
        <v>253641.3026327996</v>
      </c>
      <c r="D823" s="102">
        <v>0.26519064925579494</v>
      </c>
    </row>
    <row r="824" spans="2:4" x14ac:dyDescent="0.25">
      <c r="B824" s="61">
        <v>791</v>
      </c>
      <c r="C824" s="61">
        <v>237187.7930442486</v>
      </c>
      <c r="D824" s="102">
        <v>0.23705005962884207</v>
      </c>
    </row>
    <row r="825" spans="2:4" x14ac:dyDescent="0.25">
      <c r="B825" s="61">
        <v>792</v>
      </c>
      <c r="C825" s="61">
        <v>345945.87870695908</v>
      </c>
      <c r="D825" s="102">
        <v>0.38667240633319744</v>
      </c>
    </row>
    <row r="826" spans="2:4" x14ac:dyDescent="0.25">
      <c r="B826" s="61">
        <v>793</v>
      </c>
      <c r="C826" s="61">
        <v>166362.51039336191</v>
      </c>
      <c r="D826" s="102">
        <v>0.18343532365374782</v>
      </c>
    </row>
    <row r="827" spans="2:4" x14ac:dyDescent="0.25">
      <c r="B827" s="61">
        <v>794</v>
      </c>
      <c r="C827" s="61">
        <v>157554.41154919384</v>
      </c>
      <c r="D827" s="102">
        <v>0.19511756489496679</v>
      </c>
    </row>
    <row r="828" spans="2:4" x14ac:dyDescent="0.25">
      <c r="B828" s="61">
        <v>795</v>
      </c>
      <c r="C828" s="61">
        <v>213378.07158504613</v>
      </c>
      <c r="D828" s="102">
        <v>0.21321510158195678</v>
      </c>
    </row>
    <row r="829" spans="2:4" x14ac:dyDescent="0.25">
      <c r="B829" s="61">
        <v>796</v>
      </c>
      <c r="C829" s="61">
        <v>138550.19216948672</v>
      </c>
      <c r="D829" s="102">
        <v>0.15418704867499367</v>
      </c>
    </row>
    <row r="830" spans="2:4" x14ac:dyDescent="0.25">
      <c r="B830" s="61">
        <v>797</v>
      </c>
      <c r="C830" s="61">
        <v>332408.57963739836</v>
      </c>
      <c r="D830" s="102">
        <v>0.31805066782641278</v>
      </c>
    </row>
    <row r="831" spans="2:4" x14ac:dyDescent="0.25">
      <c r="B831" s="61">
        <v>798</v>
      </c>
      <c r="C831" s="61">
        <v>396643.53651442379</v>
      </c>
      <c r="D831" s="102">
        <v>0.37087088782164246</v>
      </c>
    </row>
    <row r="832" spans="2:4" x14ac:dyDescent="0.25">
      <c r="B832" s="61">
        <v>799</v>
      </c>
      <c r="C832" s="61">
        <v>281545.99829160853</v>
      </c>
      <c r="D832" s="102">
        <v>0.2763306597868691</v>
      </c>
    </row>
    <row r="833" spans="2:4" x14ac:dyDescent="0.25">
      <c r="B833" s="61">
        <v>800</v>
      </c>
      <c r="C833" s="61">
        <v>260062.24070525542</v>
      </c>
      <c r="D833" s="102">
        <v>0.24884537402080831</v>
      </c>
    </row>
    <row r="834" spans="2:4" x14ac:dyDescent="0.25">
      <c r="B834" s="61">
        <v>801</v>
      </c>
      <c r="C834" s="61">
        <v>471623.85871590988</v>
      </c>
      <c r="D834" s="102">
        <v>0.39287126234265535</v>
      </c>
    </row>
    <row r="835" spans="2:4" x14ac:dyDescent="0.25">
      <c r="B835" s="61">
        <v>802</v>
      </c>
      <c r="C835" s="61">
        <v>154415.24135628383</v>
      </c>
      <c r="D835" s="102">
        <v>0.17183934244292876</v>
      </c>
    </row>
    <row r="836" spans="2:4" x14ac:dyDescent="0.25">
      <c r="B836" s="61">
        <v>803</v>
      </c>
      <c r="C836" s="61">
        <v>367826.41854532703</v>
      </c>
      <c r="D836" s="102">
        <v>0.27910353477184668</v>
      </c>
    </row>
    <row r="837" spans="2:4" x14ac:dyDescent="0.25">
      <c r="B837" s="61">
        <v>804</v>
      </c>
      <c r="C837" s="61">
        <v>207938.91182150319</v>
      </c>
      <c r="D837" s="102">
        <v>0.21845413104049238</v>
      </c>
    </row>
    <row r="838" spans="2:4" x14ac:dyDescent="0.25">
      <c r="B838" s="61">
        <v>805</v>
      </c>
      <c r="C838" s="61">
        <v>249534.15911395359</v>
      </c>
      <c r="D838" s="102">
        <v>0.27288938523729245</v>
      </c>
    </row>
    <row r="839" spans="2:4" x14ac:dyDescent="0.25">
      <c r="B839" s="61">
        <v>806</v>
      </c>
      <c r="C839" s="61">
        <v>128823.05849762406</v>
      </c>
      <c r="D839" s="102">
        <v>0.15872908375150718</v>
      </c>
    </row>
    <row r="840" spans="2:4" x14ac:dyDescent="0.25">
      <c r="B840" s="61">
        <v>807</v>
      </c>
      <c r="C840" s="61">
        <v>371667.45623361634</v>
      </c>
      <c r="D840" s="102">
        <v>0.35610631702001228</v>
      </c>
    </row>
    <row r="841" spans="2:4" x14ac:dyDescent="0.25">
      <c r="B841" s="61">
        <v>808</v>
      </c>
      <c r="C841" s="61">
        <v>342208.35069309955</v>
      </c>
      <c r="D841" s="102">
        <v>0.33501335553901423</v>
      </c>
    </row>
    <row r="842" spans="2:4" x14ac:dyDescent="0.25">
      <c r="B842" s="61">
        <v>809</v>
      </c>
      <c r="C842" s="61">
        <v>368693.11002586829</v>
      </c>
      <c r="D842" s="102">
        <v>0.33034805368272835</v>
      </c>
    </row>
    <row r="843" spans="2:4" x14ac:dyDescent="0.25">
      <c r="B843" s="61">
        <v>810</v>
      </c>
      <c r="C843" s="61">
        <v>85611.926494815561</v>
      </c>
      <c r="D843" s="102">
        <v>0.13629572114385713</v>
      </c>
    </row>
    <row r="844" spans="2:4" x14ac:dyDescent="0.25">
      <c r="B844" s="61">
        <v>811</v>
      </c>
      <c r="C844" s="61">
        <v>190630.18199102324</v>
      </c>
      <c r="D844" s="102">
        <v>0.19971140604053317</v>
      </c>
    </row>
    <row r="845" spans="2:4" x14ac:dyDescent="0.25">
      <c r="B845" s="61">
        <v>812</v>
      </c>
      <c r="C845" s="61">
        <v>324078.51532213471</v>
      </c>
      <c r="D845" s="102">
        <v>0.34122517321231483</v>
      </c>
    </row>
    <row r="846" spans="2:4" x14ac:dyDescent="0.25">
      <c r="B846" s="61">
        <v>813</v>
      </c>
      <c r="C846" s="61">
        <v>339747.99357318284</v>
      </c>
      <c r="D846" s="102">
        <v>0.34177107822085961</v>
      </c>
    </row>
    <row r="847" spans="2:4" x14ac:dyDescent="0.25">
      <c r="B847" s="61">
        <v>814</v>
      </c>
      <c r="C847" s="61">
        <v>321032.2155855</v>
      </c>
      <c r="D847" s="102">
        <v>0.30012656183198549</v>
      </c>
    </row>
    <row r="848" spans="2:4" x14ac:dyDescent="0.25">
      <c r="B848" s="61">
        <v>815</v>
      </c>
      <c r="C848" s="61">
        <v>480669.66669391701</v>
      </c>
      <c r="D848" s="102">
        <v>0.38324163595748462</v>
      </c>
    </row>
    <row r="849" spans="2:4" x14ac:dyDescent="0.25">
      <c r="B849" s="61">
        <v>816</v>
      </c>
      <c r="C849" s="61">
        <v>103752.76990009897</v>
      </c>
      <c r="D849" s="102">
        <v>0.13924071835071428</v>
      </c>
    </row>
    <row r="850" spans="2:4" x14ac:dyDescent="0.25">
      <c r="B850" s="61">
        <v>817</v>
      </c>
      <c r="C850" s="61">
        <v>299184.54424943437</v>
      </c>
      <c r="D850" s="102">
        <v>0.34106223773651378</v>
      </c>
    </row>
    <row r="851" spans="2:4" x14ac:dyDescent="0.25">
      <c r="B851" s="61">
        <v>818</v>
      </c>
      <c r="C851" s="61">
        <v>23292.410131890734</v>
      </c>
      <c r="D851" s="102">
        <v>8.441743040539329E-2</v>
      </c>
    </row>
    <row r="852" spans="2:4" x14ac:dyDescent="0.25">
      <c r="B852" s="61">
        <v>819</v>
      </c>
      <c r="C852" s="61">
        <v>226116.07817155833</v>
      </c>
      <c r="D852" s="102">
        <v>0.24202296528212397</v>
      </c>
    </row>
    <row r="853" spans="2:4" x14ac:dyDescent="0.25">
      <c r="B853" s="61">
        <v>820</v>
      </c>
      <c r="C853" s="61">
        <v>92999.533366935153</v>
      </c>
      <c r="D853" s="102">
        <v>0.13601438799050536</v>
      </c>
    </row>
    <row r="854" spans="2:4" x14ac:dyDescent="0.25">
      <c r="B854" s="61">
        <v>821</v>
      </c>
      <c r="C854" s="61">
        <v>195382.3033621182</v>
      </c>
      <c r="D854" s="102">
        <v>0.23388813777197459</v>
      </c>
    </row>
    <row r="855" spans="2:4" x14ac:dyDescent="0.25">
      <c r="B855" s="61">
        <v>822</v>
      </c>
      <c r="C855" s="61">
        <v>387346.97973722778</v>
      </c>
      <c r="D855" s="102">
        <v>0.34404895002114033</v>
      </c>
    </row>
    <row r="856" spans="2:4" x14ac:dyDescent="0.25">
      <c r="B856" s="61">
        <v>823</v>
      </c>
      <c r="C856" s="61">
        <v>371923.37380524096</v>
      </c>
      <c r="D856" s="102">
        <v>0.38189127652890265</v>
      </c>
    </row>
    <row r="857" spans="2:4" x14ac:dyDescent="0.25">
      <c r="B857" s="61">
        <v>824</v>
      </c>
      <c r="C857" s="61">
        <v>234625.54886935197</v>
      </c>
      <c r="D857" s="102">
        <v>0.1983594261379733</v>
      </c>
    </row>
    <row r="858" spans="2:4" x14ac:dyDescent="0.25">
      <c r="B858" s="61">
        <v>825</v>
      </c>
      <c r="C858" s="61">
        <v>174016.8653373369</v>
      </c>
      <c r="D858" s="102">
        <v>0.19589552432045032</v>
      </c>
    </row>
    <row r="859" spans="2:4" x14ac:dyDescent="0.25">
      <c r="B859" s="61">
        <v>826</v>
      </c>
      <c r="C859" s="61">
        <v>333206.83932815783</v>
      </c>
      <c r="D859" s="102">
        <v>0.35330635977117097</v>
      </c>
    </row>
    <row r="860" spans="2:4" x14ac:dyDescent="0.25">
      <c r="B860" s="61">
        <v>827</v>
      </c>
      <c r="C860" s="61">
        <v>559132.00134719268</v>
      </c>
      <c r="D860" s="102">
        <v>0.48483357971702468</v>
      </c>
    </row>
    <row r="861" spans="2:4" x14ac:dyDescent="0.25">
      <c r="B861" s="61">
        <v>828</v>
      </c>
      <c r="C861" s="61">
        <v>333978.22623306222</v>
      </c>
      <c r="D861" s="102">
        <v>0.35971365524881693</v>
      </c>
    </row>
    <row r="862" spans="2:4" x14ac:dyDescent="0.25">
      <c r="B862" s="61">
        <v>829</v>
      </c>
      <c r="C862" s="61">
        <v>451507.40578733222</v>
      </c>
      <c r="D862" s="102">
        <v>0.4221737899174014</v>
      </c>
    </row>
    <row r="863" spans="2:4" x14ac:dyDescent="0.25">
      <c r="B863" s="61">
        <v>830</v>
      </c>
      <c r="C863" s="61">
        <v>261288.16634776175</v>
      </c>
      <c r="D863" s="102">
        <v>0.25390982461052647</v>
      </c>
    </row>
    <row r="864" spans="2:4" x14ac:dyDescent="0.25">
      <c r="B864" s="61">
        <v>831</v>
      </c>
      <c r="C864" s="61">
        <v>157588.58325110265</v>
      </c>
      <c r="D864" s="102">
        <v>0.18126259454335636</v>
      </c>
    </row>
    <row r="865" spans="2:4" x14ac:dyDescent="0.25">
      <c r="B865" s="61">
        <v>832</v>
      </c>
      <c r="C865" s="61">
        <v>252911.55082066893</v>
      </c>
      <c r="D865" s="102">
        <v>0.29153814535079814</v>
      </c>
    </row>
    <row r="866" spans="2:4" x14ac:dyDescent="0.25">
      <c r="B866" s="61">
        <v>833</v>
      </c>
      <c r="C866" s="61">
        <v>270794.72637291299</v>
      </c>
      <c r="D866" s="102">
        <v>0.27551705830171946</v>
      </c>
    </row>
    <row r="867" spans="2:4" x14ac:dyDescent="0.25">
      <c r="B867" s="61">
        <v>834</v>
      </c>
      <c r="C867" s="61">
        <v>287654.16428160388</v>
      </c>
      <c r="D867" s="102">
        <v>0.23791774534672094</v>
      </c>
    </row>
    <row r="868" spans="2:4" x14ac:dyDescent="0.25">
      <c r="B868" s="61">
        <v>835</v>
      </c>
      <c r="C868" s="61">
        <v>185655.49176550482</v>
      </c>
      <c r="D868" s="102">
        <v>0.19490856568614778</v>
      </c>
    </row>
    <row r="869" spans="2:4" x14ac:dyDescent="0.25">
      <c r="B869" s="61">
        <v>836</v>
      </c>
      <c r="C869" s="61">
        <v>402558.30751726893</v>
      </c>
      <c r="D869" s="102">
        <v>0.39460001345343665</v>
      </c>
    </row>
    <row r="870" spans="2:4" x14ac:dyDescent="0.25">
      <c r="B870" s="61">
        <v>837</v>
      </c>
      <c r="C870" s="61">
        <v>239737.98628882167</v>
      </c>
      <c r="D870" s="102">
        <v>0.25276704961652863</v>
      </c>
    </row>
    <row r="871" spans="2:4" x14ac:dyDescent="0.25">
      <c r="B871" s="61">
        <v>838</v>
      </c>
      <c r="C871" s="61">
        <v>237346.89485534129</v>
      </c>
      <c r="D871" s="102">
        <v>0.22414539970364489</v>
      </c>
    </row>
    <row r="872" spans="2:4" x14ac:dyDescent="0.25">
      <c r="B872" s="61">
        <v>839</v>
      </c>
      <c r="C872" s="61">
        <v>414223.43458277255</v>
      </c>
      <c r="D872" s="102">
        <v>0.44434571522172983</v>
      </c>
    </row>
    <row r="873" spans="2:4" x14ac:dyDescent="0.25">
      <c r="B873" s="61">
        <v>840</v>
      </c>
      <c r="C873" s="61">
        <v>237533.74882364611</v>
      </c>
      <c r="D873" s="102">
        <v>0.24342482270219756</v>
      </c>
    </row>
    <row r="874" spans="2:4" x14ac:dyDescent="0.25">
      <c r="B874" s="61">
        <v>841</v>
      </c>
      <c r="C874" s="61">
        <v>239967.44727659319</v>
      </c>
      <c r="D874" s="102">
        <v>0.25971165222247583</v>
      </c>
    </row>
    <row r="875" spans="2:4" x14ac:dyDescent="0.25">
      <c r="B875" s="61">
        <v>842</v>
      </c>
      <c r="C875" s="61">
        <v>302359.24640026432</v>
      </c>
      <c r="D875" s="102">
        <v>0.33158234269712272</v>
      </c>
    </row>
    <row r="876" spans="2:4" x14ac:dyDescent="0.25">
      <c r="B876" s="61">
        <v>843</v>
      </c>
      <c r="C876" s="61">
        <v>425442.99242160877</v>
      </c>
      <c r="D876" s="102">
        <v>0.52551450158995516</v>
      </c>
    </row>
    <row r="877" spans="2:4" x14ac:dyDescent="0.25">
      <c r="B877" s="61">
        <v>844</v>
      </c>
      <c r="C877" s="61">
        <v>338404.15859396535</v>
      </c>
      <c r="D877" s="102">
        <v>0.33016769684553426</v>
      </c>
    </row>
    <row r="878" spans="2:4" x14ac:dyDescent="0.25">
      <c r="B878" s="61">
        <v>845</v>
      </c>
      <c r="C878" s="61">
        <v>302927.71065997728</v>
      </c>
      <c r="D878" s="102">
        <v>0.31954141275044567</v>
      </c>
    </row>
    <row r="879" spans="2:4" x14ac:dyDescent="0.25">
      <c r="B879" s="61">
        <v>846</v>
      </c>
      <c r="C879" s="61">
        <v>357565.45714730117</v>
      </c>
      <c r="D879" s="102">
        <v>0.35272325669773186</v>
      </c>
    </row>
    <row r="880" spans="2:4" x14ac:dyDescent="0.25">
      <c r="B880" s="61">
        <v>847</v>
      </c>
      <c r="C880" s="61">
        <v>107029.12434643816</v>
      </c>
      <c r="D880" s="102">
        <v>0.14812443031875366</v>
      </c>
    </row>
    <row r="881" spans="2:4" x14ac:dyDescent="0.25">
      <c r="B881" s="61">
        <v>848</v>
      </c>
      <c r="C881" s="61">
        <v>265681.18062752427</v>
      </c>
      <c r="D881" s="102">
        <v>0.26063199330158215</v>
      </c>
    </row>
    <row r="882" spans="2:4" x14ac:dyDescent="0.25">
      <c r="B882" s="61">
        <v>849</v>
      </c>
      <c r="C882" s="61">
        <v>236437.58144070033</v>
      </c>
      <c r="D882" s="102">
        <v>0.26237618209166924</v>
      </c>
    </row>
    <row r="883" spans="2:4" x14ac:dyDescent="0.25">
      <c r="B883" s="61">
        <v>850</v>
      </c>
      <c r="C883" s="61">
        <v>329304.28065266646</v>
      </c>
      <c r="D883" s="102">
        <v>0.33065540306987118</v>
      </c>
    </row>
    <row r="884" spans="2:4" x14ac:dyDescent="0.25">
      <c r="B884" s="61">
        <v>851</v>
      </c>
      <c r="C884" s="61">
        <v>244588.03757804458</v>
      </c>
      <c r="D884" s="102">
        <v>0.26224072152031241</v>
      </c>
    </row>
    <row r="885" spans="2:4" x14ac:dyDescent="0.25">
      <c r="B885" s="61">
        <v>852</v>
      </c>
      <c r="C885" s="61">
        <v>270797.43069939362</v>
      </c>
      <c r="D885" s="102">
        <v>0.24136610895208888</v>
      </c>
    </row>
    <row r="886" spans="2:4" x14ac:dyDescent="0.25">
      <c r="B886" s="61">
        <v>853</v>
      </c>
      <c r="C886" s="61">
        <v>239019.85550603294</v>
      </c>
      <c r="D886" s="102">
        <v>0.25581016769342568</v>
      </c>
    </row>
    <row r="887" spans="2:4" x14ac:dyDescent="0.25">
      <c r="B887" s="61">
        <v>854</v>
      </c>
      <c r="C887" s="61">
        <v>361082.94593304303</v>
      </c>
      <c r="D887" s="102">
        <v>0.3640802628154578</v>
      </c>
    </row>
    <row r="888" spans="2:4" x14ac:dyDescent="0.25">
      <c r="B888" s="61">
        <v>855</v>
      </c>
      <c r="C888" s="61">
        <v>66715.975054511044</v>
      </c>
      <c r="D888" s="102">
        <v>0.11277842462142584</v>
      </c>
    </row>
    <row r="889" spans="2:4" x14ac:dyDescent="0.25">
      <c r="B889" s="61">
        <v>856</v>
      </c>
      <c r="C889" s="61">
        <v>63746.917897332925</v>
      </c>
      <c r="D889" s="102">
        <v>0.12424058876371702</v>
      </c>
    </row>
    <row r="890" spans="2:4" x14ac:dyDescent="0.25">
      <c r="B890" s="61">
        <v>857</v>
      </c>
      <c r="C890" s="61">
        <v>89404.803990646731</v>
      </c>
      <c r="D890" s="102">
        <v>0.12780578865329728</v>
      </c>
    </row>
    <row r="891" spans="2:4" x14ac:dyDescent="0.25">
      <c r="B891" s="61">
        <v>858</v>
      </c>
      <c r="C891" s="61">
        <v>392739.63883075735</v>
      </c>
      <c r="D891" s="102">
        <v>0.37656770341539758</v>
      </c>
    </row>
    <row r="892" spans="2:4" x14ac:dyDescent="0.25">
      <c r="B892" s="61">
        <v>859</v>
      </c>
      <c r="C892" s="61">
        <v>349487.25880077016</v>
      </c>
      <c r="D892" s="102">
        <v>0.28935948682493273</v>
      </c>
    </row>
    <row r="893" spans="2:4" x14ac:dyDescent="0.25">
      <c r="B893" s="61">
        <v>860</v>
      </c>
      <c r="C893" s="61">
        <v>174532.18268822914</v>
      </c>
      <c r="D893" s="102">
        <v>0.20992998778744298</v>
      </c>
    </row>
    <row r="894" spans="2:4" x14ac:dyDescent="0.25">
      <c r="B894" s="61">
        <v>861</v>
      </c>
      <c r="C894" s="61">
        <v>339742.96141042467</v>
      </c>
      <c r="D894" s="102">
        <v>0.26119123804525568</v>
      </c>
    </row>
    <row r="895" spans="2:4" x14ac:dyDescent="0.25">
      <c r="B895" s="61">
        <v>862</v>
      </c>
      <c r="C895" s="61">
        <v>466495.10554424999</v>
      </c>
      <c r="D895" s="102">
        <v>0.37744991282536056</v>
      </c>
    </row>
    <row r="896" spans="2:4" x14ac:dyDescent="0.25">
      <c r="B896" s="61">
        <v>863</v>
      </c>
      <c r="C896" s="61">
        <v>386728.62396189768</v>
      </c>
      <c r="D896" s="102">
        <v>0.34511497238733391</v>
      </c>
    </row>
    <row r="897" spans="2:4" x14ac:dyDescent="0.25">
      <c r="B897" s="61">
        <v>864</v>
      </c>
      <c r="C897" s="61">
        <v>257057.52337329264</v>
      </c>
      <c r="D897" s="102">
        <v>0.2393080497599982</v>
      </c>
    </row>
    <row r="898" spans="2:4" x14ac:dyDescent="0.25">
      <c r="B898" s="61">
        <v>865</v>
      </c>
      <c r="C898" s="61">
        <v>301665.82483851421</v>
      </c>
      <c r="D898" s="102">
        <v>0.29386747970807603</v>
      </c>
    </row>
    <row r="899" spans="2:4" x14ac:dyDescent="0.25">
      <c r="B899" s="61">
        <v>866</v>
      </c>
      <c r="C899" s="61">
        <v>74830.929851092282</v>
      </c>
      <c r="D899" s="102">
        <v>0.1435998870578834</v>
      </c>
    </row>
    <row r="900" spans="2:4" x14ac:dyDescent="0.25">
      <c r="B900" s="61">
        <v>867</v>
      </c>
      <c r="C900" s="61">
        <v>321260.81981380761</v>
      </c>
      <c r="D900" s="102">
        <v>0.3281088615814105</v>
      </c>
    </row>
    <row r="901" spans="2:4" x14ac:dyDescent="0.25">
      <c r="B901" s="61">
        <v>868</v>
      </c>
      <c r="C901" s="61">
        <v>450385.43758948881</v>
      </c>
      <c r="D901" s="102">
        <v>0.39023795480403822</v>
      </c>
    </row>
    <row r="902" spans="2:4" x14ac:dyDescent="0.25">
      <c r="B902" s="61">
        <v>869</v>
      </c>
      <c r="C902" s="61">
        <v>149012.42123708531</v>
      </c>
      <c r="D902" s="102">
        <v>0.1690761150622011</v>
      </c>
    </row>
    <row r="903" spans="2:4" x14ac:dyDescent="0.25">
      <c r="B903" s="61">
        <v>870</v>
      </c>
      <c r="C903" s="61">
        <v>188007.67367528239</v>
      </c>
      <c r="D903" s="102">
        <v>0.17817320396006675</v>
      </c>
    </row>
    <row r="904" spans="2:4" x14ac:dyDescent="0.25">
      <c r="B904" s="61">
        <v>871</v>
      </c>
      <c r="C904" s="61">
        <v>301621.51374799409</v>
      </c>
      <c r="D904" s="102">
        <v>0.27097847388044505</v>
      </c>
    </row>
    <row r="905" spans="2:4" x14ac:dyDescent="0.25">
      <c r="B905" s="61">
        <v>872</v>
      </c>
      <c r="C905" s="61">
        <v>370886.26999414794</v>
      </c>
      <c r="D905" s="102">
        <v>0.38515137058850346</v>
      </c>
    </row>
    <row r="906" spans="2:4" x14ac:dyDescent="0.25">
      <c r="B906" s="61">
        <v>873</v>
      </c>
      <c r="C906" s="61">
        <v>202056.20874992234</v>
      </c>
      <c r="D906" s="102">
        <v>0.21318962440910361</v>
      </c>
    </row>
    <row r="907" spans="2:4" x14ac:dyDescent="0.25">
      <c r="B907" s="61">
        <v>874</v>
      </c>
      <c r="C907" s="61">
        <v>352071.62136050919</v>
      </c>
      <c r="D907" s="102">
        <v>0.32267506023289383</v>
      </c>
    </row>
    <row r="908" spans="2:4" x14ac:dyDescent="0.25">
      <c r="B908" s="61">
        <v>875</v>
      </c>
      <c r="C908" s="61">
        <v>413757.01590664522</v>
      </c>
      <c r="D908" s="102">
        <v>0.39017542746536638</v>
      </c>
    </row>
    <row r="909" spans="2:4" x14ac:dyDescent="0.25">
      <c r="B909" s="61">
        <v>876</v>
      </c>
      <c r="C909" s="61">
        <v>449191.76545430068</v>
      </c>
      <c r="D909" s="102">
        <v>0.37233243322706566</v>
      </c>
    </row>
    <row r="910" spans="2:4" x14ac:dyDescent="0.25">
      <c r="B910" s="61">
        <v>877</v>
      </c>
      <c r="C910" s="61">
        <v>235332.8732453275</v>
      </c>
      <c r="D910" s="102">
        <v>0.21797661171136151</v>
      </c>
    </row>
    <row r="911" spans="2:4" x14ac:dyDescent="0.25">
      <c r="B911" s="61">
        <v>878</v>
      </c>
      <c r="C911" s="61">
        <v>134281.06301400729</v>
      </c>
      <c r="D911" s="102">
        <v>0.15791366118354166</v>
      </c>
    </row>
    <row r="912" spans="2:4" x14ac:dyDescent="0.25">
      <c r="B912" s="61">
        <v>879</v>
      </c>
      <c r="C912" s="61">
        <v>102467.67976445332</v>
      </c>
      <c r="D912" s="102">
        <v>0.17252334015912862</v>
      </c>
    </row>
    <row r="913" spans="2:4" x14ac:dyDescent="0.25">
      <c r="B913" s="61">
        <v>880</v>
      </c>
      <c r="C913" s="61">
        <v>236329.67895807244</v>
      </c>
      <c r="D913" s="102">
        <v>0.24301889317836567</v>
      </c>
    </row>
    <row r="914" spans="2:4" x14ac:dyDescent="0.25">
      <c r="B914" s="61">
        <v>881</v>
      </c>
      <c r="C914" s="61">
        <v>346314.60069523589</v>
      </c>
      <c r="D914" s="102">
        <v>0.33616360606788342</v>
      </c>
    </row>
    <row r="915" spans="2:4" x14ac:dyDescent="0.25">
      <c r="B915" s="61">
        <v>882</v>
      </c>
      <c r="C915" s="61">
        <v>263969.19587557483</v>
      </c>
      <c r="D915" s="102">
        <v>0.25856878207962386</v>
      </c>
    </row>
    <row r="916" spans="2:4" x14ac:dyDescent="0.25">
      <c r="B916" s="61">
        <v>883</v>
      </c>
      <c r="C916" s="61">
        <v>587590.05230539793</v>
      </c>
      <c r="D916" s="102">
        <v>0.52804246409709488</v>
      </c>
    </row>
    <row r="917" spans="2:4" x14ac:dyDescent="0.25">
      <c r="B917" s="61">
        <v>884</v>
      </c>
      <c r="C917" s="61">
        <v>308433.92898947641</v>
      </c>
      <c r="D917" s="102">
        <v>0.2665379544146731</v>
      </c>
    </row>
    <row r="918" spans="2:4" x14ac:dyDescent="0.25">
      <c r="B918" s="61">
        <v>885</v>
      </c>
      <c r="C918" s="61">
        <v>343608.12512360269</v>
      </c>
      <c r="D918" s="102">
        <v>0.32503057154261805</v>
      </c>
    </row>
    <row r="919" spans="2:4" x14ac:dyDescent="0.25">
      <c r="B919" s="61">
        <v>886</v>
      </c>
      <c r="C919" s="61">
        <v>173839.33305272833</v>
      </c>
      <c r="D919" s="102">
        <v>0.18756294830879816</v>
      </c>
    </row>
    <row r="920" spans="2:4" x14ac:dyDescent="0.25">
      <c r="B920" s="61">
        <v>887</v>
      </c>
      <c r="C920" s="61">
        <v>345509.39771574014</v>
      </c>
      <c r="D920" s="102">
        <v>0.32427688664085164</v>
      </c>
    </row>
    <row r="921" spans="2:4" x14ac:dyDescent="0.25">
      <c r="B921" s="61">
        <v>888</v>
      </c>
      <c r="C921" s="61">
        <v>153664.60666459543</v>
      </c>
      <c r="D921" s="102">
        <v>0.24259887563322291</v>
      </c>
    </row>
    <row r="922" spans="2:4" x14ac:dyDescent="0.25">
      <c r="B922" s="61">
        <v>889</v>
      </c>
      <c r="C922" s="61">
        <v>218014.98660526681</v>
      </c>
      <c r="D922" s="102">
        <v>0.24702239175114582</v>
      </c>
    </row>
    <row r="923" spans="2:4" x14ac:dyDescent="0.25">
      <c r="B923" s="61">
        <v>890</v>
      </c>
      <c r="C923" s="61">
        <v>483842.70744850952</v>
      </c>
      <c r="D923" s="102">
        <v>0.38812091846766594</v>
      </c>
    </row>
    <row r="924" spans="2:4" x14ac:dyDescent="0.25">
      <c r="B924" s="61">
        <v>891</v>
      </c>
      <c r="C924" s="61">
        <v>350849.33689858322</v>
      </c>
      <c r="D924" s="102">
        <v>0.35970774114715764</v>
      </c>
    </row>
    <row r="925" spans="2:4" x14ac:dyDescent="0.25">
      <c r="B925" s="61">
        <v>892</v>
      </c>
      <c r="C925" s="61">
        <v>89610.385830760642</v>
      </c>
      <c r="D925" s="102">
        <v>0.14470265869323939</v>
      </c>
    </row>
    <row r="926" spans="2:4" x14ac:dyDescent="0.25">
      <c r="B926" s="61">
        <v>893</v>
      </c>
      <c r="C926" s="61">
        <v>518913.91681797279</v>
      </c>
      <c r="D926" s="102">
        <v>0.42843294335692983</v>
      </c>
    </row>
    <row r="927" spans="2:4" x14ac:dyDescent="0.25">
      <c r="B927" s="61">
        <v>894</v>
      </c>
      <c r="C927" s="61">
        <v>251019.83152157417</v>
      </c>
      <c r="D927" s="102">
        <v>0.27012042367734646</v>
      </c>
    </row>
    <row r="928" spans="2:4" x14ac:dyDescent="0.25">
      <c r="B928" s="61">
        <v>895</v>
      </c>
      <c r="C928" s="61">
        <v>145187.45588441117</v>
      </c>
      <c r="D928" s="102">
        <v>0.18593586815074303</v>
      </c>
    </row>
    <row r="929" spans="2:4" x14ac:dyDescent="0.25">
      <c r="B929" s="61">
        <v>896</v>
      </c>
      <c r="C929" s="61">
        <v>537984.85919856164</v>
      </c>
      <c r="D929" s="102">
        <v>0.52738399617615195</v>
      </c>
    </row>
    <row r="930" spans="2:4" x14ac:dyDescent="0.25">
      <c r="B930" s="61">
        <v>897</v>
      </c>
      <c r="C930" s="61">
        <v>34324.535413927864</v>
      </c>
      <c r="D930" s="102">
        <v>9.0385819264983569E-2</v>
      </c>
    </row>
    <row r="931" spans="2:4" x14ac:dyDescent="0.25">
      <c r="B931" s="61">
        <v>898</v>
      </c>
      <c r="C931" s="61">
        <v>189908.50337188598</v>
      </c>
      <c r="D931" s="102">
        <v>0.26486173350111319</v>
      </c>
    </row>
    <row r="932" spans="2:4" x14ac:dyDescent="0.25">
      <c r="B932" s="61">
        <v>899</v>
      </c>
      <c r="C932" s="61">
        <v>227938.19267705409</v>
      </c>
      <c r="D932" s="102">
        <v>0.23912653366613168</v>
      </c>
    </row>
    <row r="933" spans="2:4" x14ac:dyDescent="0.25">
      <c r="B933" s="61">
        <v>900</v>
      </c>
      <c r="C933" s="61">
        <v>330462.82988469687</v>
      </c>
      <c r="D933" s="102">
        <v>0.30282724268959482</v>
      </c>
    </row>
    <row r="934" spans="2:4" x14ac:dyDescent="0.25">
      <c r="B934" s="61">
        <v>901</v>
      </c>
      <c r="C934" s="61">
        <v>265868.46385879116</v>
      </c>
      <c r="D934" s="102">
        <v>0.29066322381491982</v>
      </c>
    </row>
    <row r="935" spans="2:4" x14ac:dyDescent="0.25">
      <c r="B935" s="61">
        <v>902</v>
      </c>
      <c r="C935" s="61">
        <v>208665.35303908878</v>
      </c>
      <c r="D935" s="102">
        <v>0.23390238753546111</v>
      </c>
    </row>
    <row r="936" spans="2:4" x14ac:dyDescent="0.25">
      <c r="B936" s="61">
        <v>903</v>
      </c>
      <c r="C936" s="61">
        <v>22183.031678289291</v>
      </c>
      <c r="D936" s="102">
        <v>8.0632468742344088E-2</v>
      </c>
    </row>
    <row r="937" spans="2:4" x14ac:dyDescent="0.25">
      <c r="B937" s="61">
        <v>904</v>
      </c>
      <c r="C937" s="61">
        <v>467761.24880718102</v>
      </c>
      <c r="D937" s="102">
        <v>0.39155650519342333</v>
      </c>
    </row>
    <row r="938" spans="2:4" x14ac:dyDescent="0.25">
      <c r="B938" s="61">
        <v>905</v>
      </c>
      <c r="C938" s="61">
        <v>464774.47689689999</v>
      </c>
      <c r="D938" s="102">
        <v>0.36508397139076054</v>
      </c>
    </row>
    <row r="939" spans="2:4" x14ac:dyDescent="0.25">
      <c r="B939" s="61">
        <v>906</v>
      </c>
      <c r="C939" s="61">
        <v>149911.7689413703</v>
      </c>
      <c r="D939" s="102">
        <v>0.22543098052986466</v>
      </c>
    </row>
    <row r="940" spans="2:4" x14ac:dyDescent="0.25">
      <c r="B940" s="61">
        <v>907</v>
      </c>
      <c r="C940" s="61">
        <v>33968.694499565987</v>
      </c>
      <c r="D940" s="102">
        <v>9.9798863213282463E-2</v>
      </c>
    </row>
    <row r="941" spans="2:4" x14ac:dyDescent="0.25">
      <c r="B941" s="61">
        <v>908</v>
      </c>
      <c r="C941" s="61">
        <v>-20287.193284098932</v>
      </c>
      <c r="D941" s="102">
        <v>4.6359272437648036E-2</v>
      </c>
    </row>
    <row r="942" spans="2:4" x14ac:dyDescent="0.25">
      <c r="B942" s="61">
        <v>909</v>
      </c>
      <c r="C942" s="61">
        <v>302292.7304594256</v>
      </c>
      <c r="D942" s="102">
        <v>0.34111663567759987</v>
      </c>
    </row>
    <row r="943" spans="2:4" x14ac:dyDescent="0.25">
      <c r="B943" s="61">
        <v>910</v>
      </c>
      <c r="C943" s="61">
        <v>315669.4965783091</v>
      </c>
      <c r="D943" s="102">
        <v>0.37511536222623443</v>
      </c>
    </row>
    <row r="944" spans="2:4" x14ac:dyDescent="0.25">
      <c r="B944" s="61">
        <v>911</v>
      </c>
      <c r="C944" s="61">
        <v>-130807.29085966881</v>
      </c>
      <c r="D944" s="102">
        <v>-0.1049550772774176</v>
      </c>
    </row>
    <row r="945" spans="2:4" x14ac:dyDescent="0.25">
      <c r="B945" s="61">
        <v>912</v>
      </c>
      <c r="C945" s="61">
        <v>344098.49290197482</v>
      </c>
      <c r="D945" s="102">
        <v>0.37317990229039033</v>
      </c>
    </row>
    <row r="946" spans="2:4" x14ac:dyDescent="0.25">
      <c r="B946" s="61">
        <v>913</v>
      </c>
      <c r="C946" s="61">
        <v>230864.98088001658</v>
      </c>
      <c r="D946" s="102">
        <v>0.24615573376507194</v>
      </c>
    </row>
    <row r="947" spans="2:4" x14ac:dyDescent="0.25">
      <c r="B947" s="61">
        <v>914</v>
      </c>
      <c r="C947" s="61">
        <v>130598.13689793274</v>
      </c>
      <c r="D947" s="102">
        <v>0.18865995208872777</v>
      </c>
    </row>
    <row r="948" spans="2:4" x14ac:dyDescent="0.25">
      <c r="B948" s="61">
        <v>915</v>
      </c>
      <c r="C948" s="61">
        <v>409500.47140574316</v>
      </c>
      <c r="D948" s="102">
        <v>0.34721671171796653</v>
      </c>
    </row>
    <row r="949" spans="2:4" x14ac:dyDescent="0.25">
      <c r="B949" s="61">
        <v>916</v>
      </c>
      <c r="C949" s="61">
        <v>256261.54219034454</v>
      </c>
      <c r="D949" s="102">
        <v>0.27863266842492163</v>
      </c>
    </row>
    <row r="950" spans="2:4" x14ac:dyDescent="0.25">
      <c r="B950" s="61">
        <v>917</v>
      </c>
      <c r="C950" s="61">
        <v>261722.57503629569</v>
      </c>
      <c r="D950" s="102">
        <v>0.25074532643681224</v>
      </c>
    </row>
    <row r="951" spans="2:4" x14ac:dyDescent="0.25">
      <c r="B951" s="61">
        <v>918</v>
      </c>
      <c r="C951" s="61">
        <v>125895.45462865452</v>
      </c>
      <c r="D951" s="102">
        <v>0.16170463731910356</v>
      </c>
    </row>
    <row r="952" spans="2:4" x14ac:dyDescent="0.25">
      <c r="B952" s="61">
        <v>919</v>
      </c>
      <c r="C952" s="61">
        <v>312997.50230906345</v>
      </c>
      <c r="D952" s="102">
        <v>0.31644168327866895</v>
      </c>
    </row>
    <row r="953" spans="2:4" x14ac:dyDescent="0.25">
      <c r="B953" s="61">
        <v>920</v>
      </c>
      <c r="C953" s="61">
        <v>139408.05671738472</v>
      </c>
      <c r="D953" s="102">
        <v>0.17885329046199483</v>
      </c>
    </row>
    <row r="954" spans="2:4" x14ac:dyDescent="0.25">
      <c r="B954" s="61">
        <v>921</v>
      </c>
      <c r="C954" s="61">
        <v>331007.40982186806</v>
      </c>
      <c r="D954" s="102">
        <v>0.34982161574634985</v>
      </c>
    </row>
    <row r="955" spans="2:4" x14ac:dyDescent="0.25">
      <c r="B955" s="61">
        <v>922</v>
      </c>
      <c r="C955" s="61">
        <v>202189.42359004577</v>
      </c>
      <c r="D955" s="102">
        <v>0.19975594171286404</v>
      </c>
    </row>
    <row r="956" spans="2:4" x14ac:dyDescent="0.25">
      <c r="B956" s="61">
        <v>923</v>
      </c>
      <c r="C956" s="61">
        <v>260479.10418861185</v>
      </c>
      <c r="D956" s="102">
        <v>0.32685077001780338</v>
      </c>
    </row>
    <row r="957" spans="2:4" x14ac:dyDescent="0.25">
      <c r="B957" s="61">
        <v>924</v>
      </c>
      <c r="C957" s="61">
        <v>173710.10360955715</v>
      </c>
      <c r="D957" s="102">
        <v>0.19531888647447992</v>
      </c>
    </row>
    <row r="958" spans="2:4" x14ac:dyDescent="0.25">
      <c r="B958" s="61">
        <v>925</v>
      </c>
      <c r="C958" s="61">
        <v>86689.301299831597</v>
      </c>
      <c r="D958" s="102">
        <v>0.12338541500918643</v>
      </c>
    </row>
    <row r="959" spans="2:4" x14ac:dyDescent="0.25">
      <c r="B959" s="61">
        <v>926</v>
      </c>
      <c r="C959" s="61">
        <v>183360.92013220326</v>
      </c>
      <c r="D959" s="102">
        <v>0.20882663639411092</v>
      </c>
    </row>
    <row r="960" spans="2:4" x14ac:dyDescent="0.25">
      <c r="B960" s="61">
        <v>927</v>
      </c>
      <c r="C960" s="61">
        <v>175211.20673213573</v>
      </c>
      <c r="D960" s="102">
        <v>0.23872343495898551</v>
      </c>
    </row>
    <row r="961" spans="2:4" x14ac:dyDescent="0.25">
      <c r="B961" s="61">
        <v>928</v>
      </c>
      <c r="C961" s="61">
        <v>228488.05184440978</v>
      </c>
      <c r="D961" s="102">
        <v>0.28100592798087365</v>
      </c>
    </row>
    <row r="962" spans="2:4" x14ac:dyDescent="0.25">
      <c r="B962" s="61">
        <v>929</v>
      </c>
      <c r="C962" s="61">
        <v>25774.462567634997</v>
      </c>
      <c r="D962" s="102">
        <v>8.5869347324969869E-2</v>
      </c>
    </row>
    <row r="963" spans="2:4" x14ac:dyDescent="0.25">
      <c r="B963" s="61">
        <v>930</v>
      </c>
      <c r="C963" s="61">
        <v>386528.68935704383</v>
      </c>
      <c r="D963" s="102">
        <v>0.42883183289982374</v>
      </c>
    </row>
    <row r="964" spans="2:4" x14ac:dyDescent="0.25">
      <c r="B964" s="61">
        <v>931</v>
      </c>
      <c r="C964" s="61">
        <v>48153.41149731609</v>
      </c>
      <c r="D964" s="102">
        <v>0.10361714644359021</v>
      </c>
    </row>
    <row r="965" spans="2:4" x14ac:dyDescent="0.25">
      <c r="B965" s="61">
        <v>932</v>
      </c>
      <c r="C965" s="61">
        <v>188754.40752285253</v>
      </c>
      <c r="D965" s="102">
        <v>0.21236394876597742</v>
      </c>
    </row>
    <row r="966" spans="2:4" x14ac:dyDescent="0.25">
      <c r="B966" s="61">
        <v>933</v>
      </c>
      <c r="C966" s="61">
        <v>351094.04447482165</v>
      </c>
      <c r="D966" s="102">
        <v>0.28869693968593801</v>
      </c>
    </row>
    <row r="967" spans="2:4" x14ac:dyDescent="0.25">
      <c r="B967" s="61">
        <v>934</v>
      </c>
      <c r="C967" s="61">
        <v>193535.20397667936</v>
      </c>
      <c r="D967" s="102">
        <v>0.19339077501772617</v>
      </c>
    </row>
    <row r="968" spans="2:4" x14ac:dyDescent="0.25">
      <c r="B968" s="61">
        <v>935</v>
      </c>
      <c r="C968" s="61">
        <v>382791.49121180724</v>
      </c>
      <c r="D968" s="102">
        <v>0.38002535468782717</v>
      </c>
    </row>
    <row r="969" spans="2:4" x14ac:dyDescent="0.25">
      <c r="B969" s="61">
        <v>936</v>
      </c>
      <c r="C969" s="61">
        <v>208321.36979720183</v>
      </c>
      <c r="D969" s="102">
        <v>0.21435090211417274</v>
      </c>
    </row>
    <row r="970" spans="2:4" x14ac:dyDescent="0.25">
      <c r="B970" s="61">
        <v>937</v>
      </c>
      <c r="C970" s="61">
        <v>76857.747190528025</v>
      </c>
      <c r="D970" s="102">
        <v>0.11961899203501769</v>
      </c>
    </row>
    <row r="971" spans="2:4" x14ac:dyDescent="0.25">
      <c r="B971" s="61">
        <v>938</v>
      </c>
      <c r="C971" s="61">
        <v>79459.240259926417</v>
      </c>
      <c r="D971" s="102">
        <v>0.12292458604335876</v>
      </c>
    </row>
    <row r="972" spans="2:4" x14ac:dyDescent="0.25">
      <c r="B972" s="61">
        <v>939</v>
      </c>
      <c r="C972" s="61">
        <v>295335.58622724609</v>
      </c>
      <c r="D972" s="102">
        <v>0.27890102501152847</v>
      </c>
    </row>
    <row r="973" spans="2:4" x14ac:dyDescent="0.25">
      <c r="B973" s="61">
        <v>940</v>
      </c>
      <c r="C973" s="61">
        <v>276898.4315408438</v>
      </c>
      <c r="D973" s="102">
        <v>0.29669136875917679</v>
      </c>
    </row>
    <row r="974" spans="2:4" x14ac:dyDescent="0.25">
      <c r="B974" s="61">
        <v>941</v>
      </c>
      <c r="C974" s="61">
        <v>252090.07368876704</v>
      </c>
      <c r="D974" s="102">
        <v>0.28905625924249145</v>
      </c>
    </row>
    <row r="975" spans="2:4" x14ac:dyDescent="0.25">
      <c r="B975" s="61">
        <v>942</v>
      </c>
      <c r="C975" s="61">
        <v>482761.0432712714</v>
      </c>
      <c r="D975" s="102">
        <v>0.383386011561202</v>
      </c>
    </row>
    <row r="976" spans="2:4" x14ac:dyDescent="0.25">
      <c r="B976" s="61">
        <v>943</v>
      </c>
      <c r="C976" s="61">
        <v>218596.55478828016</v>
      </c>
      <c r="D976" s="102">
        <v>0.2138155031988429</v>
      </c>
    </row>
    <row r="977" spans="2:4" x14ac:dyDescent="0.25">
      <c r="B977" s="61">
        <v>944</v>
      </c>
      <c r="C977" s="61">
        <v>498095.48769310454</v>
      </c>
      <c r="D977" s="102">
        <v>0.47150338223232668</v>
      </c>
    </row>
    <row r="978" spans="2:4" x14ac:dyDescent="0.25">
      <c r="B978" s="61">
        <v>945</v>
      </c>
      <c r="C978" s="61">
        <v>264034.17052862863</v>
      </c>
      <c r="D978" s="102">
        <v>0.2873626509445939</v>
      </c>
    </row>
    <row r="979" spans="2:4" x14ac:dyDescent="0.25">
      <c r="B979" s="61">
        <v>946</v>
      </c>
      <c r="C979" s="61">
        <v>189929.87106260855</v>
      </c>
      <c r="D979" s="102">
        <v>0.20788704209970299</v>
      </c>
    </row>
    <row r="980" spans="2:4" x14ac:dyDescent="0.25">
      <c r="B980" s="61">
        <v>947</v>
      </c>
      <c r="C980" s="61">
        <v>350316.33823056996</v>
      </c>
      <c r="D980" s="102">
        <v>0.36507054838973096</v>
      </c>
    </row>
    <row r="981" spans="2:4" x14ac:dyDescent="0.25">
      <c r="B981" s="61">
        <v>948</v>
      </c>
      <c r="C981" s="61">
        <v>128167.95556854212</v>
      </c>
      <c r="D981" s="102">
        <v>0.15518305577813041</v>
      </c>
    </row>
    <row r="982" spans="2:4" x14ac:dyDescent="0.25">
      <c r="B982" s="61">
        <v>949</v>
      </c>
      <c r="C982" s="61">
        <v>479248.51654181629</v>
      </c>
      <c r="D982" s="102">
        <v>0.41672984858271311</v>
      </c>
    </row>
    <row r="983" spans="2:4" x14ac:dyDescent="0.25">
      <c r="B983" s="61">
        <v>950</v>
      </c>
      <c r="C983" s="61">
        <v>366804.62458176084</v>
      </c>
      <c r="D983" s="102">
        <v>0.39485319736824409</v>
      </c>
    </row>
    <row r="984" spans="2:4" x14ac:dyDescent="0.25">
      <c r="B984" s="61">
        <v>951</v>
      </c>
      <c r="C984" s="61">
        <v>381495.51600219274</v>
      </c>
      <c r="D984" s="102">
        <v>0.33979363402853791</v>
      </c>
    </row>
    <row r="985" spans="2:4" x14ac:dyDescent="0.25">
      <c r="B985" s="61">
        <v>952</v>
      </c>
      <c r="C985" s="61">
        <v>4685.8620508582098</v>
      </c>
      <c r="D985" s="102">
        <v>6.6905666011180864E-2</v>
      </c>
    </row>
    <row r="986" spans="2:4" x14ac:dyDescent="0.25">
      <c r="B986" s="61">
        <v>953</v>
      </c>
      <c r="C986" s="61">
        <v>294771.28376177978</v>
      </c>
      <c r="D986" s="102">
        <v>0.28458570291989149</v>
      </c>
    </row>
    <row r="987" spans="2:4" x14ac:dyDescent="0.25">
      <c r="B987" s="61">
        <v>954</v>
      </c>
      <c r="C987" s="61">
        <v>295743.42479024909</v>
      </c>
      <c r="D987" s="102">
        <v>0.24640245230340452</v>
      </c>
    </row>
    <row r="988" spans="2:4" x14ac:dyDescent="0.25">
      <c r="B988" s="61">
        <v>955</v>
      </c>
      <c r="C988" s="61">
        <v>315732.8087038747</v>
      </c>
      <c r="D988" s="102">
        <v>0.28388783176502241</v>
      </c>
    </row>
    <row r="989" spans="2:4" x14ac:dyDescent="0.25">
      <c r="B989" s="61">
        <v>956</v>
      </c>
      <c r="C989" s="61">
        <v>375064.72116990364</v>
      </c>
      <c r="D989" s="102">
        <v>0.37727700920635154</v>
      </c>
    </row>
    <row r="990" spans="2:4" x14ac:dyDescent="0.25">
      <c r="B990" s="61">
        <v>957</v>
      </c>
      <c r="C990" s="61">
        <v>202048.69908099796</v>
      </c>
      <c r="D990" s="102">
        <v>0.20073902874759519</v>
      </c>
    </row>
    <row r="991" spans="2:4" x14ac:dyDescent="0.25">
      <c r="B991" s="61">
        <v>958</v>
      </c>
      <c r="C991" s="61">
        <v>429398.91786898428</v>
      </c>
      <c r="D991" s="102">
        <v>0.41779700314542456</v>
      </c>
    </row>
    <row r="992" spans="2:4" x14ac:dyDescent="0.25">
      <c r="B992" s="61">
        <v>959</v>
      </c>
      <c r="C992" s="61">
        <v>151344.6333020138</v>
      </c>
      <c r="D992" s="102">
        <v>0.1610604500323598</v>
      </c>
    </row>
    <row r="993" spans="2:4" x14ac:dyDescent="0.25">
      <c r="B993" s="61">
        <v>960</v>
      </c>
      <c r="C993" s="61">
        <v>257390.88156685035</v>
      </c>
      <c r="D993" s="102">
        <v>0.29043272845528567</v>
      </c>
    </row>
    <row r="994" spans="2:4" x14ac:dyDescent="0.25">
      <c r="B994" s="61">
        <v>961</v>
      </c>
      <c r="C994" s="61">
        <v>108651.51478950476</v>
      </c>
      <c r="D994" s="102">
        <v>0.14766802946984248</v>
      </c>
    </row>
    <row r="995" spans="2:4" x14ac:dyDescent="0.25">
      <c r="B995" s="61">
        <v>962</v>
      </c>
      <c r="C995" s="61">
        <v>435324.33321618347</v>
      </c>
      <c r="D995" s="102">
        <v>0.41085771019565676</v>
      </c>
    </row>
    <row r="996" spans="2:4" x14ac:dyDescent="0.25">
      <c r="B996" s="61">
        <v>963</v>
      </c>
      <c r="C996" s="61">
        <v>165982.03263592941</v>
      </c>
      <c r="D996" s="102">
        <v>0.18991324627731476</v>
      </c>
    </row>
    <row r="997" spans="2:4" x14ac:dyDescent="0.25">
      <c r="B997" s="61">
        <v>964</v>
      </c>
      <c r="C997" s="61">
        <v>491002.33342437178</v>
      </c>
      <c r="D997" s="102">
        <v>0.45053787685982893</v>
      </c>
    </row>
    <row r="998" spans="2:4" x14ac:dyDescent="0.25">
      <c r="B998" s="61">
        <v>965</v>
      </c>
      <c r="C998" s="61">
        <v>211346.87805528264</v>
      </c>
      <c r="D998" s="102">
        <v>0.2582503681792252</v>
      </c>
    </row>
    <row r="999" spans="2:4" x14ac:dyDescent="0.25">
      <c r="B999" s="61">
        <v>966</v>
      </c>
      <c r="C999" s="61">
        <v>296464.1799956091</v>
      </c>
      <c r="D999" s="102">
        <v>0.28058658030154637</v>
      </c>
    </row>
    <row r="1000" spans="2:4" x14ac:dyDescent="0.25">
      <c r="B1000" s="61">
        <v>967</v>
      </c>
      <c r="C1000" s="61">
        <v>331197.90076860681</v>
      </c>
      <c r="D1000" s="102">
        <v>0.36654310488336805</v>
      </c>
    </row>
    <row r="1001" spans="2:4" x14ac:dyDescent="0.25">
      <c r="B1001" s="61">
        <v>968</v>
      </c>
      <c r="C1001" s="61">
        <v>-67766.171244409576</v>
      </c>
      <c r="D1001" s="102">
        <v>2.227068910913621E-3</v>
      </c>
    </row>
    <row r="1002" spans="2:4" x14ac:dyDescent="0.25">
      <c r="B1002" s="61">
        <v>969</v>
      </c>
      <c r="C1002" s="61">
        <v>441518.55475348071</v>
      </c>
      <c r="D1002" s="102">
        <v>0.37595612679148305</v>
      </c>
    </row>
    <row r="1003" spans="2:4" x14ac:dyDescent="0.25">
      <c r="B1003" s="61">
        <v>970</v>
      </c>
      <c r="C1003" s="61">
        <v>363889.29496082256</v>
      </c>
      <c r="D1003" s="102">
        <v>0.31736931579840677</v>
      </c>
    </row>
    <row r="1004" spans="2:4" x14ac:dyDescent="0.25">
      <c r="B1004" s="61">
        <v>971</v>
      </c>
      <c r="C1004" s="61">
        <v>297048.86261493049</v>
      </c>
      <c r="D1004" s="102">
        <v>0.27213772240424183</v>
      </c>
    </row>
    <row r="1005" spans="2:4" x14ac:dyDescent="0.25">
      <c r="B1005" s="61">
        <v>972</v>
      </c>
      <c r="C1005" s="61">
        <v>316433.8129883185</v>
      </c>
      <c r="D1005" s="102">
        <v>0.29879535307433014</v>
      </c>
    </row>
    <row r="1006" spans="2:4" x14ac:dyDescent="0.25">
      <c r="B1006" s="61">
        <v>973</v>
      </c>
      <c r="C1006" s="61">
        <v>161988.48487785575</v>
      </c>
      <c r="D1006" s="102">
        <v>0.16532845784230799</v>
      </c>
    </row>
    <row r="1007" spans="2:4" x14ac:dyDescent="0.25">
      <c r="B1007" s="61">
        <v>974</v>
      </c>
      <c r="C1007" s="61">
        <v>149199.86717515084</v>
      </c>
      <c r="D1007" s="102">
        <v>0.18234073283360952</v>
      </c>
    </row>
    <row r="1008" spans="2:4" x14ac:dyDescent="0.25">
      <c r="B1008" s="61">
        <v>975</v>
      </c>
      <c r="C1008" s="61">
        <v>402138.93193351768</v>
      </c>
      <c r="D1008" s="102">
        <v>0.3609738091691983</v>
      </c>
    </row>
    <row r="1009" spans="2:4" x14ac:dyDescent="0.25">
      <c r="B1009" s="61">
        <v>976</v>
      </c>
      <c r="C1009" s="61">
        <v>281709.94289682398</v>
      </c>
      <c r="D1009" s="102">
        <v>0.3165841969548997</v>
      </c>
    </row>
    <row r="1010" spans="2:4" x14ac:dyDescent="0.25">
      <c r="B1010" s="61">
        <v>977</v>
      </c>
      <c r="C1010" s="61">
        <v>376752.59121251339</v>
      </c>
      <c r="D1010" s="102">
        <v>0.35192464310639626</v>
      </c>
    </row>
    <row r="1011" spans="2:4" x14ac:dyDescent="0.25">
      <c r="B1011" s="61">
        <v>978</v>
      </c>
      <c r="C1011" s="61">
        <v>81574.465809058282</v>
      </c>
      <c r="D1011" s="102">
        <v>0.13593008546713281</v>
      </c>
    </row>
    <row r="1012" spans="2:4" x14ac:dyDescent="0.25">
      <c r="B1012" s="61">
        <v>979</v>
      </c>
      <c r="C1012" s="61">
        <v>240830.98829115182</v>
      </c>
      <c r="D1012" s="102">
        <v>0.26549322556989297</v>
      </c>
    </row>
    <row r="1013" spans="2:4" x14ac:dyDescent="0.25">
      <c r="B1013" s="61">
        <v>980</v>
      </c>
      <c r="C1013" s="61">
        <v>195023.22750250518</v>
      </c>
      <c r="D1013" s="102">
        <v>0.28096795386006423</v>
      </c>
    </row>
    <row r="1014" spans="2:4" x14ac:dyDescent="0.25">
      <c r="B1014" s="61">
        <v>981</v>
      </c>
      <c r="C1014" s="61">
        <v>294818.04594108078</v>
      </c>
      <c r="D1014" s="102">
        <v>0.31406338039572068</v>
      </c>
    </row>
    <row r="1015" spans="2:4" x14ac:dyDescent="0.25">
      <c r="B1015" s="61">
        <v>982</v>
      </c>
      <c r="C1015" s="61">
        <v>-6014.0651272156974</v>
      </c>
      <c r="D1015" s="102">
        <v>5.9138070389896935E-2</v>
      </c>
    </row>
    <row r="1016" spans="2:4" x14ac:dyDescent="0.25">
      <c r="B1016" s="61">
        <v>983</v>
      </c>
      <c r="C1016" s="61">
        <v>410311.005883854</v>
      </c>
      <c r="D1016" s="102">
        <v>0.31283464834093766</v>
      </c>
    </row>
    <row r="1017" spans="2:4" x14ac:dyDescent="0.25">
      <c r="B1017" s="61">
        <v>984</v>
      </c>
      <c r="C1017" s="61">
        <v>439336.08635714266</v>
      </c>
      <c r="D1017" s="102">
        <v>0.40196514575758968</v>
      </c>
    </row>
    <row r="1018" spans="2:4" x14ac:dyDescent="0.25">
      <c r="B1018" s="61">
        <v>985</v>
      </c>
      <c r="C1018" s="61">
        <v>190281.36315837246</v>
      </c>
      <c r="D1018" s="102">
        <v>0.2573246271911207</v>
      </c>
    </row>
    <row r="1019" spans="2:4" x14ac:dyDescent="0.25">
      <c r="B1019" s="61">
        <v>986</v>
      </c>
      <c r="C1019" s="61">
        <v>254195.67159406643</v>
      </c>
      <c r="D1019" s="102">
        <v>0.24204157139479077</v>
      </c>
    </row>
    <row r="1020" spans="2:4" x14ac:dyDescent="0.25">
      <c r="B1020" s="61">
        <v>987</v>
      </c>
      <c r="C1020" s="61">
        <v>100276.9645015549</v>
      </c>
      <c r="D1020" s="102">
        <v>0.13903671963694486</v>
      </c>
    </row>
    <row r="1021" spans="2:4" x14ac:dyDescent="0.25">
      <c r="B1021" s="61">
        <v>988</v>
      </c>
      <c r="C1021" s="61">
        <v>52131.817228122905</v>
      </c>
      <c r="D1021" s="102">
        <v>0.10608930823858165</v>
      </c>
    </row>
    <row r="1022" spans="2:4" x14ac:dyDescent="0.25">
      <c r="B1022" s="61">
        <v>989</v>
      </c>
      <c r="C1022" s="61">
        <v>339712.1683149871</v>
      </c>
      <c r="D1022" s="102">
        <v>0.30271388984261693</v>
      </c>
    </row>
    <row r="1023" spans="2:4" x14ac:dyDescent="0.25">
      <c r="B1023" s="61">
        <v>990</v>
      </c>
      <c r="C1023" s="61">
        <v>141717.072822769</v>
      </c>
      <c r="D1023" s="102">
        <v>0.16822511345369096</v>
      </c>
    </row>
    <row r="1024" spans="2:4" x14ac:dyDescent="0.25">
      <c r="B1024" s="61">
        <v>991</v>
      </c>
      <c r="C1024" s="61">
        <v>294504.93300157785</v>
      </c>
      <c r="D1024" s="102">
        <v>0.25763024385106847</v>
      </c>
    </row>
    <row r="1025" spans="2:4" x14ac:dyDescent="0.25">
      <c r="B1025" s="61">
        <v>992</v>
      </c>
      <c r="C1025" s="61">
        <v>400576.68138141383</v>
      </c>
      <c r="D1025" s="102">
        <v>0.37834977357959843</v>
      </c>
    </row>
    <row r="1026" spans="2:4" x14ac:dyDescent="0.25">
      <c r="B1026" s="61">
        <v>993</v>
      </c>
      <c r="C1026" s="61">
        <v>432850.44874555315</v>
      </c>
      <c r="D1026" s="102">
        <v>0.37155552573461281</v>
      </c>
    </row>
    <row r="1027" spans="2:4" x14ac:dyDescent="0.25">
      <c r="B1027" s="61">
        <v>994</v>
      </c>
      <c r="C1027" s="61">
        <v>178202.41466045484</v>
      </c>
      <c r="D1027" s="102">
        <v>0.18928044307704073</v>
      </c>
    </row>
    <row r="1028" spans="2:4" x14ac:dyDescent="0.25">
      <c r="B1028" s="61">
        <v>995</v>
      </c>
      <c r="C1028" s="61">
        <v>263970.5741496674</v>
      </c>
      <c r="D1028" s="102">
        <v>0.32865387157163672</v>
      </c>
    </row>
    <row r="1029" spans="2:4" x14ac:dyDescent="0.25">
      <c r="B1029" s="61">
        <v>996</v>
      </c>
      <c r="C1029" s="61">
        <v>75819.518245642656</v>
      </c>
      <c r="D1029" s="102">
        <v>0.1294558064470861</v>
      </c>
    </row>
    <row r="1030" spans="2:4" x14ac:dyDescent="0.25">
      <c r="B1030" s="61">
        <v>997</v>
      </c>
      <c r="C1030" s="61">
        <v>287665.80790018442</v>
      </c>
      <c r="D1030" s="102">
        <v>0.24915717132274851</v>
      </c>
    </row>
    <row r="1031" spans="2:4" x14ac:dyDescent="0.25">
      <c r="B1031" s="61">
        <v>998</v>
      </c>
      <c r="C1031" s="61">
        <v>163782.10850566556</v>
      </c>
      <c r="D1031" s="102">
        <v>0.20264920084534399</v>
      </c>
    </row>
    <row r="1032" spans="2:4" x14ac:dyDescent="0.25">
      <c r="B1032" s="61">
        <v>999</v>
      </c>
      <c r="C1032" s="61">
        <v>447193.35475265305</v>
      </c>
      <c r="D1032" s="102">
        <v>0.43745323250715229</v>
      </c>
    </row>
    <row r="1033" spans="2:4" x14ac:dyDescent="0.25">
      <c r="B1033" s="61">
        <v>1000</v>
      </c>
      <c r="C1033" s="61">
        <v>158849.08476234443</v>
      </c>
      <c r="D1033" s="102">
        <v>0.23983282854842858</v>
      </c>
    </row>
    <row r="1034" spans="2:4" x14ac:dyDescent="0.25">
      <c r="B1034" s="61">
        <v>1001</v>
      </c>
      <c r="C1034" s="61">
        <v>216013.29117258859</v>
      </c>
      <c r="D1034" s="102">
        <v>0.21657873635702662</v>
      </c>
    </row>
    <row r="1035" spans="2:4" x14ac:dyDescent="0.25">
      <c r="B1035" s="61">
        <v>1002</v>
      </c>
      <c r="C1035" s="61">
        <v>483993.58336534945</v>
      </c>
      <c r="D1035" s="102">
        <v>0.38051226079083378</v>
      </c>
    </row>
    <row r="1036" spans="2:4" x14ac:dyDescent="0.25">
      <c r="B1036" s="61">
        <v>1003</v>
      </c>
      <c r="C1036" s="61">
        <v>75355.920923273778</v>
      </c>
      <c r="D1036" s="102">
        <v>0.13584716673034025</v>
      </c>
    </row>
    <row r="1037" spans="2:4" x14ac:dyDescent="0.25">
      <c r="B1037" s="61">
        <v>1004</v>
      </c>
      <c r="C1037" s="61">
        <v>244692.35767250101</v>
      </c>
      <c r="D1037" s="102">
        <v>0.23296557055602629</v>
      </c>
    </row>
    <row r="1038" spans="2:4" x14ac:dyDescent="0.25">
      <c r="B1038" s="61">
        <v>1005</v>
      </c>
      <c r="C1038" s="61">
        <v>388027.1689217313</v>
      </c>
      <c r="D1038" s="102">
        <v>0.34969380113490289</v>
      </c>
    </row>
    <row r="1039" spans="2:4" x14ac:dyDescent="0.25">
      <c r="B1039" s="61">
        <v>1006</v>
      </c>
      <c r="C1039" s="61">
        <v>358578.0898082027</v>
      </c>
      <c r="D1039" s="102">
        <v>0.31355845390536241</v>
      </c>
    </row>
    <row r="1040" spans="2:4" x14ac:dyDescent="0.25">
      <c r="B1040" s="61">
        <v>1007</v>
      </c>
      <c r="C1040" s="61">
        <v>96594.19674067985</v>
      </c>
      <c r="D1040" s="102">
        <v>0.15247200853171483</v>
      </c>
    </row>
    <row r="1041" spans="2:4" x14ac:dyDescent="0.25">
      <c r="B1041" s="61">
        <v>1008</v>
      </c>
      <c r="C1041" s="61">
        <v>325884.08137891302</v>
      </c>
      <c r="D1041" s="102">
        <v>0.28607238338642627</v>
      </c>
    </row>
    <row r="1042" spans="2:4" x14ac:dyDescent="0.25">
      <c r="B1042" s="61">
        <v>1009</v>
      </c>
      <c r="C1042" s="61">
        <v>430030.46310405701</v>
      </c>
      <c r="D1042" s="102">
        <v>0.32663778700963864</v>
      </c>
    </row>
    <row r="1043" spans="2:4" x14ac:dyDescent="0.25">
      <c r="B1043" s="61">
        <v>1010</v>
      </c>
      <c r="C1043" s="61">
        <v>235994.75325911341</v>
      </c>
      <c r="D1043" s="102">
        <v>0.26916416389308417</v>
      </c>
    </row>
    <row r="1044" spans="2:4" x14ac:dyDescent="0.25">
      <c r="B1044" s="61">
        <v>1011</v>
      </c>
      <c r="C1044" s="61">
        <v>229180.70160109235</v>
      </c>
      <c r="D1044" s="102">
        <v>0.2608031422422119</v>
      </c>
    </row>
    <row r="1045" spans="2:4" x14ac:dyDescent="0.25">
      <c r="B1045" s="61">
        <v>1012</v>
      </c>
      <c r="C1045" s="61">
        <v>238628.21328801592</v>
      </c>
      <c r="D1045" s="102">
        <v>0.24308183985517151</v>
      </c>
    </row>
    <row r="1046" spans="2:4" x14ac:dyDescent="0.25">
      <c r="B1046" s="61">
        <v>1013</v>
      </c>
      <c r="C1046" s="61">
        <v>301934.23964024161</v>
      </c>
      <c r="D1046" s="102">
        <v>0.29632391298593008</v>
      </c>
    </row>
    <row r="1047" spans="2:4" x14ac:dyDescent="0.25">
      <c r="B1047" s="61">
        <v>1014</v>
      </c>
      <c r="C1047" s="61">
        <v>252273.77747478092</v>
      </c>
      <c r="D1047" s="102">
        <v>0.24295525215866443</v>
      </c>
    </row>
    <row r="1048" spans="2:4" x14ac:dyDescent="0.25">
      <c r="B1048" s="61">
        <v>1015</v>
      </c>
      <c r="C1048" s="61">
        <v>196695.24885815952</v>
      </c>
      <c r="D1048" s="102">
        <v>0.20678071204487503</v>
      </c>
    </row>
    <row r="1049" spans="2:4" x14ac:dyDescent="0.25">
      <c r="B1049" s="61">
        <v>1016</v>
      </c>
      <c r="C1049" s="61">
        <v>385019.00188107125</v>
      </c>
      <c r="D1049" s="102">
        <v>0.33372785879879552</v>
      </c>
    </row>
    <row r="1050" spans="2:4" x14ac:dyDescent="0.25">
      <c r="B1050" s="61">
        <v>1017</v>
      </c>
      <c r="C1050" s="61">
        <v>253926.76092783664</v>
      </c>
      <c r="D1050" s="102">
        <v>0.29354150804538959</v>
      </c>
    </row>
    <row r="1051" spans="2:4" x14ac:dyDescent="0.25">
      <c r="B1051" s="61">
        <v>1018</v>
      </c>
      <c r="C1051" s="61">
        <v>112903.70756083395</v>
      </c>
      <c r="D1051" s="102">
        <v>0.15811454797076308</v>
      </c>
    </row>
    <row r="1052" spans="2:4" x14ac:dyDescent="0.25">
      <c r="B1052" s="61">
        <v>1019</v>
      </c>
      <c r="C1052" s="61">
        <v>196322.18026204605</v>
      </c>
      <c r="D1052" s="102">
        <v>0.23873231452772936</v>
      </c>
    </row>
    <row r="1053" spans="2:4" x14ac:dyDescent="0.25">
      <c r="B1053" s="61">
        <v>1020</v>
      </c>
      <c r="C1053" s="61">
        <v>388464.36996658018</v>
      </c>
      <c r="D1053" s="102">
        <v>0.3471097339966136</v>
      </c>
    </row>
    <row r="1054" spans="2:4" x14ac:dyDescent="0.25">
      <c r="B1054" s="61">
        <v>1021</v>
      </c>
      <c r="C1054" s="61">
        <v>350670.59561770607</v>
      </c>
      <c r="D1054" s="102">
        <v>0.32210028391825141</v>
      </c>
    </row>
    <row r="1055" spans="2:4" x14ac:dyDescent="0.25">
      <c r="B1055" s="61">
        <v>1022</v>
      </c>
      <c r="C1055" s="61">
        <v>124679.04542714736</v>
      </c>
      <c r="D1055" s="102">
        <v>0.15403533422141402</v>
      </c>
    </row>
    <row r="1056" spans="2:4" x14ac:dyDescent="0.25">
      <c r="B1056" s="61">
        <v>1023</v>
      </c>
      <c r="C1056" s="61">
        <v>527527.33700510417</v>
      </c>
      <c r="D1056" s="102">
        <v>0.5329814761587548</v>
      </c>
    </row>
    <row r="1057" spans="2:4" x14ac:dyDescent="0.25">
      <c r="B1057" s="61">
        <v>1024</v>
      </c>
      <c r="C1057" s="61">
        <v>346811.15488713386</v>
      </c>
      <c r="D1057" s="102">
        <v>0.28039162107213889</v>
      </c>
    </row>
    <row r="1058" spans="2:4" x14ac:dyDescent="0.25">
      <c r="B1058" s="61">
        <v>1025</v>
      </c>
      <c r="C1058" s="61">
        <v>393918.11521069775</v>
      </c>
      <c r="D1058" s="102">
        <v>0.30932830525878119</v>
      </c>
    </row>
    <row r="1059" spans="2:4" x14ac:dyDescent="0.25">
      <c r="B1059" s="61">
        <v>1026</v>
      </c>
      <c r="C1059" s="61">
        <v>211426.82911253872</v>
      </c>
      <c r="D1059" s="102">
        <v>0.20610599428549636</v>
      </c>
    </row>
    <row r="1060" spans="2:4" x14ac:dyDescent="0.25">
      <c r="B1060" s="61">
        <v>1027</v>
      </c>
      <c r="C1060" s="61">
        <v>261051.19138599432</v>
      </c>
      <c r="D1060" s="102">
        <v>0.2484268227500237</v>
      </c>
    </row>
    <row r="1061" spans="2:4" x14ac:dyDescent="0.25">
      <c r="B1061" s="61">
        <v>1028</v>
      </c>
      <c r="C1061" s="61">
        <v>145781.49134001584</v>
      </c>
      <c r="D1061" s="102">
        <v>0.15521037003631122</v>
      </c>
    </row>
    <row r="1062" spans="2:4" x14ac:dyDescent="0.25">
      <c r="B1062" s="61">
        <v>1029</v>
      </c>
      <c r="C1062" s="61">
        <v>267143.1435152482</v>
      </c>
      <c r="D1062" s="102">
        <v>0.33572220005698328</v>
      </c>
    </row>
    <row r="1063" spans="2:4" x14ac:dyDescent="0.25">
      <c r="B1063" s="61">
        <v>1030</v>
      </c>
      <c r="C1063" s="61">
        <v>447030.54428671149</v>
      </c>
      <c r="D1063" s="102">
        <v>0.43734652484581282</v>
      </c>
    </row>
    <row r="1064" spans="2:4" x14ac:dyDescent="0.25">
      <c r="B1064" s="61">
        <v>1031</v>
      </c>
      <c r="C1064" s="61">
        <v>396273.87474032899</v>
      </c>
      <c r="D1064" s="102">
        <v>0.36295457993688829</v>
      </c>
    </row>
    <row r="1065" spans="2:4" x14ac:dyDescent="0.25">
      <c r="B1065" s="61">
        <v>1032</v>
      </c>
      <c r="C1065" s="61">
        <v>362803.72259370168</v>
      </c>
      <c r="D1065" s="102">
        <v>0.31988323796038953</v>
      </c>
    </row>
    <row r="1066" spans="2:4" x14ac:dyDescent="0.25">
      <c r="B1066" s="61">
        <v>1033</v>
      </c>
      <c r="C1066" s="61">
        <v>280541.00486896152</v>
      </c>
      <c r="D1066" s="102">
        <v>0.27593519286900348</v>
      </c>
    </row>
    <row r="1067" spans="2:4" x14ac:dyDescent="0.25">
      <c r="B1067" s="61">
        <v>1034</v>
      </c>
      <c r="C1067" s="61">
        <v>246537.5258645037</v>
      </c>
      <c r="D1067" s="102">
        <v>0.23335508827892482</v>
      </c>
    </row>
    <row r="1068" spans="2:4" x14ac:dyDescent="0.25">
      <c r="B1068" s="61">
        <v>1035</v>
      </c>
      <c r="C1068" s="61">
        <v>442923.1277073432</v>
      </c>
      <c r="D1068" s="102">
        <v>0.44115792650070462</v>
      </c>
    </row>
    <row r="1069" spans="2:4" x14ac:dyDescent="0.25">
      <c r="B1069" s="61">
        <v>1036</v>
      </c>
      <c r="C1069" s="61">
        <v>222450.44515567948</v>
      </c>
      <c r="D1069" s="102">
        <v>0.23730501776006507</v>
      </c>
    </row>
    <row r="1070" spans="2:4" x14ac:dyDescent="0.25">
      <c r="B1070" s="61">
        <v>1037</v>
      </c>
      <c r="C1070" s="61">
        <v>471082.79863361653</v>
      </c>
      <c r="D1070" s="102">
        <v>0.40778494990924008</v>
      </c>
    </row>
    <row r="1071" spans="2:4" x14ac:dyDescent="0.25">
      <c r="B1071" s="61">
        <v>1038</v>
      </c>
      <c r="C1071" s="61">
        <v>397129.64244275424</v>
      </c>
      <c r="D1071" s="102">
        <v>0.37413598873183784</v>
      </c>
    </row>
    <row r="1072" spans="2:4" x14ac:dyDescent="0.25">
      <c r="B1072" s="61">
        <v>1039</v>
      </c>
      <c r="C1072" s="61">
        <v>333732.98217850353</v>
      </c>
      <c r="D1072" s="102">
        <v>0.29765746868315412</v>
      </c>
    </row>
    <row r="1073" spans="2:4" x14ac:dyDescent="0.25">
      <c r="B1073" s="61">
        <v>1040</v>
      </c>
      <c r="C1073" s="61">
        <v>118483.7947760403</v>
      </c>
      <c r="D1073" s="102">
        <v>0.17712764652833823</v>
      </c>
    </row>
    <row r="1074" spans="2:4" x14ac:dyDescent="0.25">
      <c r="B1074" s="61">
        <v>1041</v>
      </c>
      <c r="C1074" s="61">
        <v>221351.26788391941</v>
      </c>
      <c r="D1074" s="102">
        <v>0.20041834780964929</v>
      </c>
    </row>
    <row r="1075" spans="2:4" x14ac:dyDescent="0.25">
      <c r="B1075" s="61">
        <v>1042</v>
      </c>
      <c r="C1075" s="61">
        <v>-159200.7894392637</v>
      </c>
      <c r="D1075" s="102">
        <v>-6.985949003644476E-2</v>
      </c>
    </row>
    <row r="1076" spans="2:4" x14ac:dyDescent="0.25">
      <c r="B1076" s="61">
        <v>1043</v>
      </c>
      <c r="C1076" s="61">
        <v>476603.72454158764</v>
      </c>
      <c r="D1076" s="102">
        <v>0.37979168726064993</v>
      </c>
    </row>
    <row r="1077" spans="2:4" x14ac:dyDescent="0.25">
      <c r="B1077" s="61">
        <v>1044</v>
      </c>
      <c r="C1077" s="61">
        <v>249594.80243065301</v>
      </c>
      <c r="D1077" s="102">
        <v>0.26279623292652876</v>
      </c>
    </row>
    <row r="1078" spans="2:4" x14ac:dyDescent="0.25">
      <c r="B1078" s="61">
        <v>1045</v>
      </c>
      <c r="C1078" s="61">
        <v>377458.68344843772</v>
      </c>
      <c r="D1078" s="102">
        <v>0.39195288944530615</v>
      </c>
    </row>
    <row r="1079" spans="2:4" x14ac:dyDescent="0.25">
      <c r="B1079" s="61">
        <v>1046</v>
      </c>
      <c r="C1079" s="61">
        <v>236526.14117934334</v>
      </c>
      <c r="D1079" s="102">
        <v>0.26302837822286884</v>
      </c>
    </row>
    <row r="1080" spans="2:4" x14ac:dyDescent="0.25">
      <c r="B1080" s="61">
        <v>1047</v>
      </c>
      <c r="C1080" s="61">
        <v>192326.84164396476</v>
      </c>
      <c r="D1080" s="102">
        <v>0.21599496294297205</v>
      </c>
    </row>
    <row r="1081" spans="2:4" x14ac:dyDescent="0.25">
      <c r="B1081" s="61">
        <v>1048</v>
      </c>
      <c r="C1081" s="61">
        <v>247951.04172619747</v>
      </c>
      <c r="D1081" s="102">
        <v>0.28926327092854121</v>
      </c>
    </row>
    <row r="1082" spans="2:4" x14ac:dyDescent="0.25">
      <c r="B1082" s="61">
        <v>1049</v>
      </c>
      <c r="C1082" s="61">
        <v>301942.75963210524</v>
      </c>
      <c r="D1082" s="102">
        <v>0.2724866315883443</v>
      </c>
    </row>
    <row r="1083" spans="2:4" x14ac:dyDescent="0.25">
      <c r="B1083" s="61">
        <v>1050</v>
      </c>
      <c r="C1083" s="61">
        <v>370072.25383228727</v>
      </c>
      <c r="D1083" s="102">
        <v>0.35778350580818952</v>
      </c>
    </row>
    <row r="1084" spans="2:4" x14ac:dyDescent="0.25">
      <c r="B1084" s="61">
        <v>1051</v>
      </c>
      <c r="C1084" s="61">
        <v>96820.580107071088</v>
      </c>
      <c r="D1084" s="102">
        <v>0.14178391880894226</v>
      </c>
    </row>
    <row r="1085" spans="2:4" x14ac:dyDescent="0.25">
      <c r="B1085" s="61">
        <v>1052</v>
      </c>
      <c r="C1085" s="61">
        <v>128377.01076871942</v>
      </c>
      <c r="D1085" s="102">
        <v>0.17706035121607422</v>
      </c>
    </row>
    <row r="1086" spans="2:4" x14ac:dyDescent="0.25">
      <c r="B1086" s="61">
        <v>1053</v>
      </c>
      <c r="C1086" s="61">
        <v>212126.41380063794</v>
      </c>
      <c r="D1086" s="102">
        <v>0.20615069779478357</v>
      </c>
    </row>
    <row r="1087" spans="2:4" x14ac:dyDescent="0.25">
      <c r="B1087" s="61">
        <v>1054</v>
      </c>
      <c r="C1087" s="61">
        <v>130297.70730729081</v>
      </c>
      <c r="D1087" s="102">
        <v>0.16010924742937704</v>
      </c>
    </row>
    <row r="1088" spans="2:4" x14ac:dyDescent="0.25">
      <c r="B1088" s="61">
        <v>1055</v>
      </c>
      <c r="C1088" s="61">
        <v>260907.608755967</v>
      </c>
      <c r="D1088" s="102">
        <v>0.27059094755144408</v>
      </c>
    </row>
    <row r="1089" spans="2:4" x14ac:dyDescent="0.25">
      <c r="B1089" s="61">
        <v>1056</v>
      </c>
      <c r="C1089" s="61">
        <v>191848.89986312017</v>
      </c>
      <c r="D1089" s="102">
        <v>0.23364128021289443</v>
      </c>
    </row>
    <row r="1090" spans="2:4" x14ac:dyDescent="0.25">
      <c r="B1090" s="61">
        <v>1057</v>
      </c>
      <c r="C1090" s="61">
        <v>117687.76571268769</v>
      </c>
      <c r="D1090" s="102">
        <v>0.14608952762585248</v>
      </c>
    </row>
    <row r="1091" spans="2:4" x14ac:dyDescent="0.25">
      <c r="B1091" s="61">
        <v>1058</v>
      </c>
      <c r="C1091" s="61">
        <v>273314.36469476006</v>
      </c>
      <c r="D1091" s="102">
        <v>0.2435574343528335</v>
      </c>
    </row>
    <row r="1092" spans="2:4" x14ac:dyDescent="0.25">
      <c r="B1092" s="61">
        <v>1059</v>
      </c>
      <c r="C1092" s="61">
        <v>399093.38837315992</v>
      </c>
      <c r="D1092" s="102">
        <v>0.38500868797647159</v>
      </c>
    </row>
    <row r="1093" spans="2:4" x14ac:dyDescent="0.25">
      <c r="B1093" s="61">
        <v>1060</v>
      </c>
      <c r="C1093" s="61">
        <v>111673.75354717049</v>
      </c>
      <c r="D1093" s="102">
        <v>0.16412496059257031</v>
      </c>
    </row>
    <row r="1094" spans="2:4" x14ac:dyDescent="0.25">
      <c r="B1094" s="61">
        <v>1061</v>
      </c>
      <c r="C1094" s="61">
        <v>220835.96390353935</v>
      </c>
      <c r="D1094" s="102">
        <v>0.24588174233543048</v>
      </c>
    </row>
    <row r="1095" spans="2:4" x14ac:dyDescent="0.25">
      <c r="B1095" s="61">
        <v>1062</v>
      </c>
      <c r="C1095" s="61">
        <v>419850.92927177204</v>
      </c>
      <c r="D1095" s="102">
        <v>0.39622324524465391</v>
      </c>
    </row>
    <row r="1096" spans="2:4" x14ac:dyDescent="0.25">
      <c r="B1096" s="61">
        <v>1063</v>
      </c>
      <c r="C1096" s="61">
        <v>92111.910567859712</v>
      </c>
      <c r="D1096" s="102">
        <v>0.15132728006398377</v>
      </c>
    </row>
    <row r="1097" spans="2:4" x14ac:dyDescent="0.25">
      <c r="B1097" s="61">
        <v>1064</v>
      </c>
      <c r="C1097" s="61">
        <v>473930.97946608195</v>
      </c>
      <c r="D1097" s="102">
        <v>0.38772410486180586</v>
      </c>
    </row>
    <row r="1098" spans="2:4" x14ac:dyDescent="0.25">
      <c r="B1098" s="61">
        <v>1065</v>
      </c>
      <c r="C1098" s="61">
        <v>62552.206137750472</v>
      </c>
      <c r="D1098" s="102">
        <v>0.10480554036535072</v>
      </c>
    </row>
    <row r="1099" spans="2:4" x14ac:dyDescent="0.25">
      <c r="B1099" s="61">
        <v>1066</v>
      </c>
      <c r="C1099" s="61">
        <v>310501.35668692738</v>
      </c>
      <c r="D1099" s="102">
        <v>0.34108316879084022</v>
      </c>
    </row>
    <row r="1100" spans="2:4" x14ac:dyDescent="0.25">
      <c r="B1100" s="61">
        <v>1067</v>
      </c>
      <c r="C1100" s="61">
        <v>482604.23410425917</v>
      </c>
      <c r="D1100" s="102">
        <v>0.45675129399332737</v>
      </c>
    </row>
    <row r="1101" spans="2:4" x14ac:dyDescent="0.25">
      <c r="B1101" s="61">
        <v>1068</v>
      </c>
      <c r="C1101" s="61">
        <v>37292.28180447832</v>
      </c>
      <c r="D1101" s="102">
        <v>0.12337429022260493</v>
      </c>
    </row>
    <row r="1102" spans="2:4" x14ac:dyDescent="0.25">
      <c r="B1102" s="61">
        <v>1069</v>
      </c>
      <c r="C1102" s="61">
        <v>111024.32933939644</v>
      </c>
      <c r="D1102" s="102">
        <v>0.16580744909091005</v>
      </c>
    </row>
    <row r="1103" spans="2:4" x14ac:dyDescent="0.25">
      <c r="B1103" s="61">
        <v>1070</v>
      </c>
      <c r="C1103" s="61">
        <v>-5782.8548851356609</v>
      </c>
      <c r="D1103" s="102">
        <v>5.7685796750833074E-2</v>
      </c>
    </row>
    <row r="1104" spans="2:4" x14ac:dyDescent="0.25">
      <c r="B1104" s="61">
        <v>1071</v>
      </c>
      <c r="C1104" s="61">
        <v>221758.31758225709</v>
      </c>
      <c r="D1104" s="102">
        <v>0.26305651915041772</v>
      </c>
    </row>
    <row r="1105" spans="2:4" x14ac:dyDescent="0.25">
      <c r="B1105" s="61">
        <v>1072</v>
      </c>
      <c r="C1105" s="61">
        <v>147286.14362389245</v>
      </c>
      <c r="D1105" s="102">
        <v>0.23171608727724813</v>
      </c>
    </row>
    <row r="1106" spans="2:4" x14ac:dyDescent="0.25">
      <c r="B1106" s="61">
        <v>1073</v>
      </c>
      <c r="C1106" s="61">
        <v>496724.76956272312</v>
      </c>
      <c r="D1106" s="102">
        <v>0.39195029961070071</v>
      </c>
    </row>
    <row r="1107" spans="2:4" x14ac:dyDescent="0.25">
      <c r="B1107" s="61">
        <v>1074</v>
      </c>
      <c r="C1107" s="61">
        <v>138259.87700635154</v>
      </c>
      <c r="D1107" s="102">
        <v>0.16051604755026627</v>
      </c>
    </row>
    <row r="1108" spans="2:4" x14ac:dyDescent="0.25">
      <c r="B1108" s="61">
        <v>1075</v>
      </c>
      <c r="C1108" s="61">
        <v>501613.83107826463</v>
      </c>
      <c r="D1108" s="102">
        <v>0.4424378509346607</v>
      </c>
    </row>
    <row r="1109" spans="2:4" x14ac:dyDescent="0.25">
      <c r="B1109" s="61">
        <v>1076</v>
      </c>
      <c r="C1109" s="61">
        <v>266329.76570391236</v>
      </c>
      <c r="D1109" s="102">
        <v>0.25432731740617243</v>
      </c>
    </row>
    <row r="1110" spans="2:4" x14ac:dyDescent="0.25">
      <c r="B1110" s="61">
        <v>1077</v>
      </c>
      <c r="C1110" s="61">
        <v>376174.60316863225</v>
      </c>
      <c r="D1110" s="102">
        <v>0.3551882592854565</v>
      </c>
    </row>
    <row r="1111" spans="2:4" x14ac:dyDescent="0.25">
      <c r="B1111" s="61">
        <v>1078</v>
      </c>
      <c r="C1111" s="61">
        <v>173445.70551895536</v>
      </c>
      <c r="D1111" s="102">
        <v>0.17713863715455358</v>
      </c>
    </row>
    <row r="1112" spans="2:4" x14ac:dyDescent="0.25">
      <c r="B1112" s="61">
        <v>1079</v>
      </c>
      <c r="C1112" s="61">
        <v>207127.58435316838</v>
      </c>
      <c r="D1112" s="102">
        <v>0.26908145690609198</v>
      </c>
    </row>
    <row r="1113" spans="2:4" x14ac:dyDescent="0.25">
      <c r="B1113" s="61">
        <v>1080</v>
      </c>
      <c r="C1113" s="61">
        <v>471140.54774560605</v>
      </c>
      <c r="D1113" s="102">
        <v>0.43386995633687264</v>
      </c>
    </row>
    <row r="1114" spans="2:4" x14ac:dyDescent="0.25">
      <c r="B1114" s="61">
        <v>1081</v>
      </c>
      <c r="C1114" s="61">
        <v>350295.44717777101</v>
      </c>
      <c r="D1114" s="102">
        <v>0.33406910160008318</v>
      </c>
    </row>
    <row r="1115" spans="2:4" x14ac:dyDescent="0.25">
      <c r="B1115" s="61">
        <v>1082</v>
      </c>
      <c r="C1115" s="61">
        <v>375566.11905239243</v>
      </c>
      <c r="D1115" s="102">
        <v>0.44309479831222198</v>
      </c>
    </row>
    <row r="1116" spans="2:4" x14ac:dyDescent="0.25">
      <c r="B1116" s="61">
        <v>1083</v>
      </c>
      <c r="C1116" s="61">
        <v>382969.45484628924</v>
      </c>
      <c r="D1116" s="102">
        <v>0.38236177949829164</v>
      </c>
    </row>
    <row r="1117" spans="2:4" x14ac:dyDescent="0.25">
      <c r="B1117" s="61">
        <v>1084</v>
      </c>
      <c r="C1117" s="61">
        <v>129202.86170540343</v>
      </c>
      <c r="D1117" s="102">
        <v>0.15990064031141804</v>
      </c>
    </row>
    <row r="1118" spans="2:4" x14ac:dyDescent="0.25">
      <c r="B1118" s="61">
        <v>1085</v>
      </c>
      <c r="C1118" s="61">
        <v>158018.32147439744</v>
      </c>
      <c r="D1118" s="102">
        <v>0.19273918752988828</v>
      </c>
    </row>
    <row r="1119" spans="2:4" x14ac:dyDescent="0.25">
      <c r="B1119" s="61">
        <v>1086</v>
      </c>
      <c r="C1119" s="61">
        <v>383843.16564299096</v>
      </c>
      <c r="D1119" s="102">
        <v>0.45468330292664549</v>
      </c>
    </row>
    <row r="1120" spans="2:4" x14ac:dyDescent="0.25">
      <c r="B1120" s="61">
        <v>1087</v>
      </c>
      <c r="C1120" s="61">
        <v>260317.68612207565</v>
      </c>
      <c r="D1120" s="102">
        <v>0.26478372065898537</v>
      </c>
    </row>
    <row r="1121" spans="2:4" x14ac:dyDescent="0.25">
      <c r="B1121" s="61">
        <v>1088</v>
      </c>
      <c r="C1121" s="61">
        <v>261039.23813318042</v>
      </c>
      <c r="D1121" s="102">
        <v>0.30074028442310707</v>
      </c>
    </row>
    <row r="1122" spans="2:4" x14ac:dyDescent="0.25">
      <c r="B1122" s="61">
        <v>1089</v>
      </c>
      <c r="C1122" s="61">
        <v>324653.07569303073</v>
      </c>
      <c r="D1122" s="102">
        <v>0.36254658253258154</v>
      </c>
    </row>
    <row r="1123" spans="2:4" x14ac:dyDescent="0.25">
      <c r="B1123" s="61">
        <v>1090</v>
      </c>
      <c r="C1123" s="61">
        <v>305989.74364460655</v>
      </c>
      <c r="D1123" s="102">
        <v>0.35474408026516713</v>
      </c>
    </row>
    <row r="1124" spans="2:4" x14ac:dyDescent="0.25">
      <c r="B1124" s="61">
        <v>1091</v>
      </c>
      <c r="C1124" s="61">
        <v>222150.06906925689</v>
      </c>
      <c r="D1124" s="102">
        <v>0.26905757218949966</v>
      </c>
    </row>
    <row r="1125" spans="2:4" x14ac:dyDescent="0.25">
      <c r="B1125" s="61">
        <v>1092</v>
      </c>
      <c r="C1125" s="61">
        <v>164417.21676966106</v>
      </c>
      <c r="D1125" s="102">
        <v>0.17371036062804035</v>
      </c>
    </row>
    <row r="1126" spans="2:4" x14ac:dyDescent="0.25">
      <c r="B1126" s="61">
        <v>1093</v>
      </c>
      <c r="C1126" s="61">
        <v>338050.65068082814</v>
      </c>
      <c r="D1126" s="102">
        <v>0.29363320920124347</v>
      </c>
    </row>
    <row r="1127" spans="2:4" x14ac:dyDescent="0.25">
      <c r="B1127" s="61">
        <v>1094</v>
      </c>
      <c r="C1127" s="61">
        <v>310160.49300391704</v>
      </c>
      <c r="D1127" s="102">
        <v>0.33098566467997914</v>
      </c>
    </row>
    <row r="1128" spans="2:4" x14ac:dyDescent="0.25">
      <c r="B1128" s="61">
        <v>1095</v>
      </c>
      <c r="C1128" s="61">
        <v>340287.1929330905</v>
      </c>
      <c r="D1128" s="102">
        <v>0.33588163424658335</v>
      </c>
    </row>
    <row r="1129" spans="2:4" x14ac:dyDescent="0.25">
      <c r="B1129" s="61">
        <v>1096</v>
      </c>
      <c r="C1129" s="61">
        <v>156194.17377650202</v>
      </c>
      <c r="D1129" s="102">
        <v>0.20660523943188647</v>
      </c>
    </row>
    <row r="1130" spans="2:4" x14ac:dyDescent="0.25">
      <c r="B1130" s="61">
        <v>1097</v>
      </c>
      <c r="C1130" s="61">
        <v>219532.4917889575</v>
      </c>
      <c r="D1130" s="102">
        <v>0.2146599208540021</v>
      </c>
    </row>
    <row r="1131" spans="2:4" x14ac:dyDescent="0.25">
      <c r="B1131" s="61">
        <v>1098</v>
      </c>
      <c r="C1131" s="61">
        <v>169366.27526971337</v>
      </c>
      <c r="D1131" s="102">
        <v>0.20473230904836281</v>
      </c>
    </row>
    <row r="1132" spans="2:4" x14ac:dyDescent="0.25">
      <c r="B1132" s="61">
        <v>1099</v>
      </c>
      <c r="C1132" s="61">
        <v>-53660.958879170823</v>
      </c>
      <c r="D1132" s="102">
        <v>1.0643505277015297E-2</v>
      </c>
    </row>
    <row r="1133" spans="2:4" x14ac:dyDescent="0.25">
      <c r="B1133" s="61">
        <v>1100</v>
      </c>
      <c r="C1133" s="61">
        <v>273323.83662202698</v>
      </c>
      <c r="D1133" s="102">
        <v>0.28505118962332276</v>
      </c>
    </row>
    <row r="1134" spans="2:4" x14ac:dyDescent="0.25">
      <c r="B1134" s="61">
        <v>1101</v>
      </c>
      <c r="C1134" s="61">
        <v>360244.57589041907</v>
      </c>
      <c r="D1134" s="102">
        <v>0.35961786406577501</v>
      </c>
    </row>
    <row r="1135" spans="2:4" x14ac:dyDescent="0.25">
      <c r="B1135" s="61">
        <v>1102</v>
      </c>
      <c r="C1135" s="61">
        <v>505463.95588633814</v>
      </c>
      <c r="D1135" s="102">
        <v>0.42842330015927566</v>
      </c>
    </row>
    <row r="1136" spans="2:4" x14ac:dyDescent="0.25">
      <c r="B1136" s="61">
        <v>1103</v>
      </c>
      <c r="C1136" s="61">
        <v>452820.66317597136</v>
      </c>
      <c r="D1136" s="102">
        <v>0.37984740671675898</v>
      </c>
    </row>
    <row r="1137" spans="2:4" x14ac:dyDescent="0.25">
      <c r="B1137" s="61">
        <v>1104</v>
      </c>
      <c r="C1137" s="61">
        <v>262577.20051255845</v>
      </c>
      <c r="D1137" s="102">
        <v>0.27456182872890578</v>
      </c>
    </row>
    <row r="1138" spans="2:4" x14ac:dyDescent="0.25">
      <c r="B1138" s="61">
        <v>1105</v>
      </c>
      <c r="C1138" s="61">
        <v>297240.19873977115</v>
      </c>
      <c r="D1138" s="102">
        <v>0.34453039421438203</v>
      </c>
    </row>
    <row r="1139" spans="2:4" x14ac:dyDescent="0.25">
      <c r="B1139" s="61">
        <v>1106</v>
      </c>
      <c r="C1139" s="61">
        <v>123692.35647958453</v>
      </c>
      <c r="D1139" s="102">
        <v>0.15191288289793592</v>
      </c>
    </row>
    <row r="1140" spans="2:4" x14ac:dyDescent="0.25">
      <c r="B1140" s="61">
        <v>1107</v>
      </c>
      <c r="C1140" s="61">
        <v>160942.01632162696</v>
      </c>
      <c r="D1140" s="102">
        <v>0.17797838871070204</v>
      </c>
    </row>
    <row r="1141" spans="2:4" x14ac:dyDescent="0.25">
      <c r="B1141" s="61">
        <v>1108</v>
      </c>
      <c r="C1141" s="61">
        <v>304679.15870919335</v>
      </c>
      <c r="D1141" s="102">
        <v>0.32587897342196848</v>
      </c>
    </row>
    <row r="1142" spans="2:4" x14ac:dyDescent="0.25">
      <c r="B1142" s="61">
        <v>1109</v>
      </c>
      <c r="C1142" s="61">
        <v>419879.74193637073</v>
      </c>
      <c r="D1142" s="102">
        <v>0.37169502228103823</v>
      </c>
    </row>
    <row r="1143" spans="2:4" x14ac:dyDescent="0.25">
      <c r="B1143" s="61">
        <v>1110</v>
      </c>
      <c r="C1143" s="61">
        <v>238876.03177933407</v>
      </c>
      <c r="D1143" s="102">
        <v>0.22837746545115012</v>
      </c>
    </row>
    <row r="1144" spans="2:4" x14ac:dyDescent="0.25">
      <c r="B1144" s="61">
        <v>1111</v>
      </c>
      <c r="C1144" s="61">
        <v>540807.02136782289</v>
      </c>
      <c r="D1144" s="102">
        <v>0.48627263032851253</v>
      </c>
    </row>
    <row r="1145" spans="2:4" x14ac:dyDescent="0.25">
      <c r="B1145" s="61">
        <v>1112</v>
      </c>
      <c r="C1145" s="61">
        <v>169108.70853606577</v>
      </c>
      <c r="D1145" s="102">
        <v>0.18834221030431131</v>
      </c>
    </row>
    <row r="1146" spans="2:4" x14ac:dyDescent="0.25">
      <c r="B1146" s="61">
        <v>1113</v>
      </c>
      <c r="C1146" s="61">
        <v>490033.13599672588</v>
      </c>
      <c r="D1146" s="102">
        <v>0.51809963728303687</v>
      </c>
    </row>
    <row r="1147" spans="2:4" x14ac:dyDescent="0.25">
      <c r="B1147" s="61">
        <v>1114</v>
      </c>
      <c r="C1147" s="61">
        <v>345025.20249964052</v>
      </c>
      <c r="D1147" s="102">
        <v>0.30052485629005266</v>
      </c>
    </row>
    <row r="1148" spans="2:4" x14ac:dyDescent="0.25">
      <c r="B1148" s="61">
        <v>1115</v>
      </c>
      <c r="C1148" s="61">
        <v>307408.44172722218</v>
      </c>
      <c r="D1148" s="102">
        <v>0.28324231768617913</v>
      </c>
    </row>
    <row r="1149" spans="2:4" x14ac:dyDescent="0.25">
      <c r="B1149" s="61">
        <v>1116</v>
      </c>
      <c r="C1149" s="61">
        <v>73241.583715687913</v>
      </c>
      <c r="D1149" s="102">
        <v>0.12611924288547716</v>
      </c>
    </row>
    <row r="1150" spans="2:4" x14ac:dyDescent="0.25">
      <c r="B1150" s="61">
        <v>1117</v>
      </c>
      <c r="C1150" s="61">
        <v>72848.029161649698</v>
      </c>
      <c r="D1150" s="102">
        <v>0.12612303395793401</v>
      </c>
    </row>
    <row r="1151" spans="2:4" x14ac:dyDescent="0.25">
      <c r="B1151" s="61">
        <v>1118</v>
      </c>
      <c r="C1151" s="61">
        <v>247731.95217119623</v>
      </c>
      <c r="D1151" s="102">
        <v>0.22856947200521627</v>
      </c>
    </row>
    <row r="1152" spans="2:4" x14ac:dyDescent="0.25">
      <c r="B1152" s="61">
        <v>1119</v>
      </c>
      <c r="C1152" s="61">
        <v>245131.17083063803</v>
      </c>
      <c r="D1152" s="102">
        <v>0.22587129636290681</v>
      </c>
    </row>
    <row r="1153" spans="2:4" x14ac:dyDescent="0.25">
      <c r="B1153" s="61">
        <v>1120</v>
      </c>
      <c r="C1153" s="61">
        <v>253924.80127108051</v>
      </c>
      <c r="D1153" s="102">
        <v>0.24016538724245073</v>
      </c>
    </row>
    <row r="1154" spans="2:4" x14ac:dyDescent="0.25">
      <c r="B1154" s="61">
        <v>1121</v>
      </c>
      <c r="C1154" s="61">
        <v>88945.276423597767</v>
      </c>
      <c r="D1154" s="102">
        <v>0.14367925784004743</v>
      </c>
    </row>
    <row r="1155" spans="2:4" x14ac:dyDescent="0.25">
      <c r="B1155" s="61">
        <v>1122</v>
      </c>
      <c r="C1155" s="61">
        <v>12950.877323572233</v>
      </c>
      <c r="D1155" s="102">
        <v>7.4103993053937334E-2</v>
      </c>
    </row>
    <row r="1156" spans="2:4" x14ac:dyDescent="0.25">
      <c r="B1156" s="61">
        <v>1123</v>
      </c>
      <c r="C1156" s="61">
        <v>198467.62172532023</v>
      </c>
      <c r="D1156" s="102">
        <v>0.17042436403174732</v>
      </c>
    </row>
    <row r="1157" spans="2:4" x14ac:dyDescent="0.25">
      <c r="B1157" s="61">
        <v>1124</v>
      </c>
      <c r="C1157" s="61">
        <v>289702.96644712705</v>
      </c>
      <c r="D1157" s="102">
        <v>0.2793185900473234</v>
      </c>
    </row>
    <row r="1158" spans="2:4" x14ac:dyDescent="0.25">
      <c r="B1158" s="61">
        <v>1125</v>
      </c>
      <c r="C1158" s="61">
        <v>106315.61795774003</v>
      </c>
      <c r="D1158" s="102">
        <v>0.14170410319849358</v>
      </c>
    </row>
    <row r="1159" spans="2:4" x14ac:dyDescent="0.25">
      <c r="B1159" s="61">
        <v>1126</v>
      </c>
      <c r="C1159" s="61">
        <v>233183.82481692627</v>
      </c>
      <c r="D1159" s="102">
        <v>0.24047839319827813</v>
      </c>
    </row>
    <row r="1160" spans="2:4" x14ac:dyDescent="0.25">
      <c r="B1160" s="61">
        <v>1127</v>
      </c>
      <c r="C1160" s="61">
        <v>613691.8621389796</v>
      </c>
      <c r="D1160" s="102">
        <v>0.46475054198370169</v>
      </c>
    </row>
    <row r="1161" spans="2:4" x14ac:dyDescent="0.25">
      <c r="B1161" s="61">
        <v>1128</v>
      </c>
      <c r="C1161" s="61">
        <v>15043.391673705017</v>
      </c>
      <c r="D1161" s="102">
        <v>7.9557934017204568E-2</v>
      </c>
    </row>
    <row r="1162" spans="2:4" x14ac:dyDescent="0.25">
      <c r="B1162" s="61">
        <v>1129</v>
      </c>
      <c r="C1162" s="61">
        <v>201522.15060560906</v>
      </c>
      <c r="D1162" s="102">
        <v>0.26724127350959481</v>
      </c>
    </row>
    <row r="1163" spans="2:4" x14ac:dyDescent="0.25">
      <c r="B1163" s="61">
        <v>1130</v>
      </c>
      <c r="C1163" s="61">
        <v>290094.13680969877</v>
      </c>
      <c r="D1163" s="102">
        <v>0.28380709718869124</v>
      </c>
    </row>
    <row r="1164" spans="2:4" x14ac:dyDescent="0.25">
      <c r="B1164" s="61">
        <v>1131</v>
      </c>
      <c r="C1164" s="61">
        <v>296421.68212174124</v>
      </c>
      <c r="D1164" s="102">
        <v>0.31874995798485362</v>
      </c>
    </row>
    <row r="1165" spans="2:4" x14ac:dyDescent="0.25">
      <c r="B1165" s="61">
        <v>1132</v>
      </c>
      <c r="C1165" s="61">
        <v>257615.76055701869</v>
      </c>
      <c r="D1165" s="102">
        <v>0.27108731590299295</v>
      </c>
    </row>
    <row r="1166" spans="2:4" x14ac:dyDescent="0.25">
      <c r="B1166" s="61">
        <v>1133</v>
      </c>
      <c r="C1166" s="61">
        <v>185117.5596068661</v>
      </c>
      <c r="D1166" s="102">
        <v>0.21530354681009922</v>
      </c>
    </row>
    <row r="1167" spans="2:4" x14ac:dyDescent="0.25">
      <c r="B1167" s="61">
        <v>1134</v>
      </c>
      <c r="C1167" s="61">
        <v>22319.201911538257</v>
      </c>
      <c r="D1167" s="102">
        <v>8.2070595476259722E-2</v>
      </c>
    </row>
    <row r="1168" spans="2:4" x14ac:dyDescent="0.25">
      <c r="B1168" s="61">
        <v>1135</v>
      </c>
      <c r="C1168" s="61">
        <v>435703.4291273182</v>
      </c>
      <c r="D1168" s="102">
        <v>0.47052667920277558</v>
      </c>
    </row>
    <row r="1169" spans="2:4" x14ac:dyDescent="0.25">
      <c r="B1169" s="61">
        <v>1136</v>
      </c>
      <c r="C1169" s="61">
        <v>183711.19367791782</v>
      </c>
      <c r="D1169" s="102">
        <v>0.27984146169737678</v>
      </c>
    </row>
    <row r="1170" spans="2:4" x14ac:dyDescent="0.25">
      <c r="B1170" s="61">
        <v>1137</v>
      </c>
      <c r="C1170" s="61">
        <v>368274.33731627488</v>
      </c>
      <c r="D1170" s="102">
        <v>0.36883244133898074</v>
      </c>
    </row>
    <row r="1171" spans="2:4" x14ac:dyDescent="0.25">
      <c r="B1171" s="61">
        <v>1138</v>
      </c>
      <c r="C1171" s="61">
        <v>102475.22048307187</v>
      </c>
      <c r="D1171" s="102">
        <v>0.1715894350630025</v>
      </c>
    </row>
    <row r="1172" spans="2:4" x14ac:dyDescent="0.25">
      <c r="B1172" s="61">
        <v>1139</v>
      </c>
      <c r="C1172" s="61">
        <v>209787.04455024749</v>
      </c>
      <c r="D1172" s="102">
        <v>0.22234040686961221</v>
      </c>
    </row>
    <row r="1173" spans="2:4" x14ac:dyDescent="0.25">
      <c r="B1173" s="61">
        <v>1140</v>
      </c>
      <c r="C1173" s="61">
        <v>287478.01278567407</v>
      </c>
      <c r="D1173" s="102">
        <v>0.2485134266800697</v>
      </c>
    </row>
    <row r="1174" spans="2:4" x14ac:dyDescent="0.25">
      <c r="B1174" s="61">
        <v>1141</v>
      </c>
      <c r="C1174" s="61">
        <v>210069.56068393297</v>
      </c>
      <c r="D1174" s="102">
        <v>0.23611327911551894</v>
      </c>
    </row>
    <row r="1175" spans="2:4" x14ac:dyDescent="0.25">
      <c r="B1175" s="61">
        <v>1142</v>
      </c>
      <c r="C1175" s="61">
        <v>221120.09879646567</v>
      </c>
      <c r="D1175" s="102">
        <v>0.22365585335038829</v>
      </c>
    </row>
    <row r="1176" spans="2:4" x14ac:dyDescent="0.25">
      <c r="B1176" s="61">
        <v>1143</v>
      </c>
      <c r="C1176" s="61">
        <v>171150.11766502738</v>
      </c>
      <c r="D1176" s="102">
        <v>0.19237509992579804</v>
      </c>
    </row>
    <row r="1177" spans="2:4" x14ac:dyDescent="0.25">
      <c r="B1177" s="61">
        <v>1144</v>
      </c>
      <c r="C1177" s="61">
        <v>253199.90155779012</v>
      </c>
      <c r="D1177" s="102">
        <v>0.26123193698644553</v>
      </c>
    </row>
    <row r="1178" spans="2:4" x14ac:dyDescent="0.25">
      <c r="B1178" s="61">
        <v>1145</v>
      </c>
      <c r="C1178" s="61">
        <v>243463.32589438243</v>
      </c>
      <c r="D1178" s="102">
        <v>0.27564984190559594</v>
      </c>
    </row>
    <row r="1179" spans="2:4" x14ac:dyDescent="0.25">
      <c r="B1179" s="61">
        <v>1146</v>
      </c>
      <c r="C1179" s="61">
        <v>344246.73576077004</v>
      </c>
      <c r="D1179" s="102">
        <v>0.31686078405714202</v>
      </c>
    </row>
    <row r="1180" spans="2:4" x14ac:dyDescent="0.25">
      <c r="B1180" s="61">
        <v>1147</v>
      </c>
      <c r="C1180" s="61">
        <v>147899.904802481</v>
      </c>
      <c r="D1180" s="102">
        <v>0.19555077869887905</v>
      </c>
    </row>
    <row r="1181" spans="2:4" x14ac:dyDescent="0.25">
      <c r="B1181" s="61">
        <v>1148</v>
      </c>
      <c r="C1181" s="61">
        <v>324566.01550016587</v>
      </c>
      <c r="D1181" s="102">
        <v>0.33927231033276595</v>
      </c>
    </row>
    <row r="1182" spans="2:4" x14ac:dyDescent="0.25">
      <c r="B1182" s="61">
        <v>1149</v>
      </c>
      <c r="C1182" s="61">
        <v>104583.95216570585</v>
      </c>
      <c r="D1182" s="102">
        <v>0.15680314281422358</v>
      </c>
    </row>
    <row r="1183" spans="2:4" x14ac:dyDescent="0.25">
      <c r="B1183" s="61">
        <v>1150</v>
      </c>
      <c r="C1183" s="61">
        <v>204317.05562152585</v>
      </c>
      <c r="D1183" s="102">
        <v>0.21444457115062043</v>
      </c>
    </row>
    <row r="1184" spans="2:4" x14ac:dyDescent="0.25">
      <c r="B1184" s="61">
        <v>1151</v>
      </c>
      <c r="C1184" s="61">
        <v>-135882.75890222468</v>
      </c>
      <c r="D1184" s="102">
        <v>-2.8027938481343662E-2</v>
      </c>
    </row>
    <row r="1185" spans="2:4" x14ac:dyDescent="0.25">
      <c r="B1185" s="61">
        <v>1152</v>
      </c>
      <c r="C1185" s="61">
        <v>115474.16461371048</v>
      </c>
      <c r="D1185" s="102">
        <v>0.16397431898744541</v>
      </c>
    </row>
    <row r="1186" spans="2:4" x14ac:dyDescent="0.25">
      <c r="B1186" s="61">
        <v>1153</v>
      </c>
      <c r="C1186" s="61">
        <v>172672.24977586698</v>
      </c>
      <c r="D1186" s="102">
        <v>0.20897390216855039</v>
      </c>
    </row>
    <row r="1187" spans="2:4" x14ac:dyDescent="0.25">
      <c r="B1187" s="61">
        <v>1154</v>
      </c>
      <c r="C1187" s="61">
        <v>102353.60508251254</v>
      </c>
      <c r="D1187" s="102">
        <v>0.14451789699251605</v>
      </c>
    </row>
    <row r="1188" spans="2:4" x14ac:dyDescent="0.25">
      <c r="B1188" s="61">
        <v>1155</v>
      </c>
      <c r="C1188" s="61">
        <v>259727.99832965829</v>
      </c>
      <c r="D1188" s="102">
        <v>0.28273592720106544</v>
      </c>
    </row>
    <row r="1189" spans="2:4" x14ac:dyDescent="0.25">
      <c r="B1189" s="61">
        <v>1156</v>
      </c>
      <c r="C1189" s="61">
        <v>189281.95946697285</v>
      </c>
      <c r="D1189" s="102">
        <v>0.22677416080069634</v>
      </c>
    </row>
    <row r="1190" spans="2:4" x14ac:dyDescent="0.25">
      <c r="B1190" s="61">
        <v>1157</v>
      </c>
      <c r="C1190" s="61">
        <v>202577.9843022424</v>
      </c>
      <c r="D1190" s="102">
        <v>0.19820558388826814</v>
      </c>
    </row>
    <row r="1191" spans="2:4" x14ac:dyDescent="0.25">
      <c r="B1191" s="61">
        <v>1158</v>
      </c>
      <c r="C1191" s="61">
        <v>431003.28163471713</v>
      </c>
      <c r="D1191" s="102">
        <v>0.35819507332518818</v>
      </c>
    </row>
    <row r="1192" spans="2:4" x14ac:dyDescent="0.25">
      <c r="B1192" s="61">
        <v>1159</v>
      </c>
      <c r="C1192" s="61">
        <v>370405.73863587342</v>
      </c>
      <c r="D1192" s="102">
        <v>0.34729398533536249</v>
      </c>
    </row>
    <row r="1193" spans="2:4" x14ac:dyDescent="0.25">
      <c r="B1193" s="61">
        <v>1160</v>
      </c>
      <c r="C1193" s="61">
        <v>177212.22679532471</v>
      </c>
      <c r="D1193" s="102">
        <v>0.18798156461100657</v>
      </c>
    </row>
    <row r="1194" spans="2:4" x14ac:dyDescent="0.25">
      <c r="B1194" s="61">
        <v>1161</v>
      </c>
      <c r="C1194" s="61">
        <v>179467.01543582417</v>
      </c>
      <c r="D1194" s="102">
        <v>0.22332264034984717</v>
      </c>
    </row>
    <row r="1195" spans="2:4" x14ac:dyDescent="0.25">
      <c r="B1195" s="61">
        <v>1162</v>
      </c>
      <c r="C1195" s="61">
        <v>164069.06195657502</v>
      </c>
      <c r="D1195" s="102">
        <v>0.21123893532359839</v>
      </c>
    </row>
    <row r="1196" spans="2:4" x14ac:dyDescent="0.25">
      <c r="B1196" s="61">
        <v>1163</v>
      </c>
      <c r="C1196" s="61">
        <v>211755.84087562154</v>
      </c>
      <c r="D1196" s="102">
        <v>0.23644994439014666</v>
      </c>
    </row>
    <row r="1197" spans="2:4" x14ac:dyDescent="0.25">
      <c r="B1197" s="61">
        <v>1164</v>
      </c>
      <c r="C1197" s="61">
        <v>261054.65933551267</v>
      </c>
      <c r="D1197" s="102">
        <v>0.25359645644071671</v>
      </c>
    </row>
    <row r="1198" spans="2:4" x14ac:dyDescent="0.25">
      <c r="B1198" s="61">
        <v>1165</v>
      </c>
      <c r="C1198" s="61">
        <v>270300.11005447421</v>
      </c>
      <c r="D1198" s="102">
        <v>0.29076017187479608</v>
      </c>
    </row>
    <row r="1199" spans="2:4" x14ac:dyDescent="0.25">
      <c r="B1199" s="61">
        <v>1166</v>
      </c>
      <c r="C1199" s="61">
        <v>225591.65501305333</v>
      </c>
      <c r="D1199" s="102">
        <v>0.2562332727909411</v>
      </c>
    </row>
    <row r="1200" spans="2:4" x14ac:dyDescent="0.25">
      <c r="B1200" s="61">
        <v>1167</v>
      </c>
      <c r="C1200" s="61">
        <v>240517.20863852266</v>
      </c>
      <c r="D1200" s="102">
        <v>0.26492694837241304</v>
      </c>
    </row>
    <row r="1201" spans="2:4" x14ac:dyDescent="0.25">
      <c r="B1201" s="61">
        <v>1168</v>
      </c>
      <c r="C1201" s="61">
        <v>527733.67006027978</v>
      </c>
      <c r="D1201" s="102">
        <v>0.49537834123956026</v>
      </c>
    </row>
    <row r="1202" spans="2:4" x14ac:dyDescent="0.25">
      <c r="B1202" s="61">
        <v>1169</v>
      </c>
      <c r="C1202" s="61">
        <v>556869.00932365295</v>
      </c>
      <c r="D1202" s="102">
        <v>0.5015242988641726</v>
      </c>
    </row>
    <row r="1203" spans="2:4" x14ac:dyDescent="0.25">
      <c r="B1203" s="61">
        <v>1170</v>
      </c>
      <c r="C1203" s="61">
        <v>267422.56459865929</v>
      </c>
      <c r="D1203" s="102">
        <v>0.25494773144738936</v>
      </c>
    </row>
    <row r="1204" spans="2:4" x14ac:dyDescent="0.25">
      <c r="B1204" s="61">
        <v>1171</v>
      </c>
      <c r="C1204" s="61">
        <v>130802.23904073326</v>
      </c>
      <c r="D1204" s="102">
        <v>0.18353308297955184</v>
      </c>
    </row>
    <row r="1205" spans="2:4" x14ac:dyDescent="0.25">
      <c r="B1205" s="61">
        <v>1172</v>
      </c>
      <c r="C1205" s="61">
        <v>349515.36205338675</v>
      </c>
      <c r="D1205" s="102">
        <v>0.41761500124151696</v>
      </c>
    </row>
    <row r="1206" spans="2:4" x14ac:dyDescent="0.25">
      <c r="B1206" s="61">
        <v>1173</v>
      </c>
      <c r="C1206" s="61">
        <v>160929.53187007597</v>
      </c>
      <c r="D1206" s="102">
        <v>0.18976385874051327</v>
      </c>
    </row>
    <row r="1207" spans="2:4" x14ac:dyDescent="0.25">
      <c r="B1207" s="61">
        <v>1174</v>
      </c>
      <c r="C1207" s="61">
        <v>61391.143007037521</v>
      </c>
      <c r="D1207" s="102">
        <v>0.11223369027902885</v>
      </c>
    </row>
    <row r="1208" spans="2:4" x14ac:dyDescent="0.25">
      <c r="B1208" s="61">
        <v>1175</v>
      </c>
      <c r="C1208" s="61">
        <v>477982.95090238447</v>
      </c>
      <c r="D1208" s="102">
        <v>0.380653388796657</v>
      </c>
    </row>
    <row r="1209" spans="2:4" x14ac:dyDescent="0.25">
      <c r="B1209" s="61">
        <v>1176</v>
      </c>
      <c r="C1209" s="61">
        <v>157173.51548348658</v>
      </c>
      <c r="D1209" s="102">
        <v>0.19122785763355732</v>
      </c>
    </row>
    <row r="1210" spans="2:4" x14ac:dyDescent="0.25">
      <c r="B1210" s="61">
        <v>1177</v>
      </c>
      <c r="C1210" s="61">
        <v>277035.05068701401</v>
      </c>
      <c r="D1210" s="102">
        <v>0.32472972343157958</v>
      </c>
    </row>
    <row r="1211" spans="2:4" x14ac:dyDescent="0.25">
      <c r="B1211" s="61">
        <v>1178</v>
      </c>
      <c r="C1211" s="61">
        <v>200211.33126310329</v>
      </c>
      <c r="D1211" s="102">
        <v>0.26234414882739809</v>
      </c>
    </row>
    <row r="1212" spans="2:4" x14ac:dyDescent="0.25">
      <c r="B1212" s="61">
        <v>1179</v>
      </c>
      <c r="C1212" s="61">
        <v>184523.59881100256</v>
      </c>
      <c r="D1212" s="102">
        <v>0.18773323423443689</v>
      </c>
    </row>
    <row r="1213" spans="2:4" x14ac:dyDescent="0.25">
      <c r="B1213" s="61">
        <v>1180</v>
      </c>
      <c r="C1213" s="61">
        <v>75446.48449136212</v>
      </c>
      <c r="D1213" s="102">
        <v>0.11484085000068789</v>
      </c>
    </row>
    <row r="1214" spans="2:4" x14ac:dyDescent="0.25">
      <c r="B1214" s="61">
        <v>1181</v>
      </c>
      <c r="C1214" s="61">
        <v>31895.099652482953</v>
      </c>
      <c r="D1214" s="102">
        <v>9.1682586526043552E-2</v>
      </c>
    </row>
    <row r="1215" spans="2:4" x14ac:dyDescent="0.25">
      <c r="B1215" s="61">
        <v>1182</v>
      </c>
      <c r="C1215" s="61">
        <v>348464.49340064393</v>
      </c>
      <c r="D1215" s="102">
        <v>0.35873445954821581</v>
      </c>
    </row>
    <row r="1216" spans="2:4" x14ac:dyDescent="0.25">
      <c r="B1216" s="61">
        <v>1183</v>
      </c>
      <c r="C1216" s="61">
        <v>435696.26036810165</v>
      </c>
      <c r="D1216" s="102">
        <v>0.36150663201904654</v>
      </c>
    </row>
    <row r="1217" spans="2:4" x14ac:dyDescent="0.25">
      <c r="B1217" s="61">
        <v>1184</v>
      </c>
      <c r="C1217" s="61">
        <v>498694.81492169888</v>
      </c>
      <c r="D1217" s="102">
        <v>0.3860794656104507</v>
      </c>
    </row>
    <row r="1218" spans="2:4" x14ac:dyDescent="0.25">
      <c r="B1218" s="61">
        <v>1185</v>
      </c>
      <c r="C1218" s="61">
        <v>228552.07792858302</v>
      </c>
      <c r="D1218" s="102">
        <v>0.26333008338682506</v>
      </c>
    </row>
    <row r="1219" spans="2:4" x14ac:dyDescent="0.25">
      <c r="B1219" s="61">
        <v>1186</v>
      </c>
      <c r="C1219" s="61">
        <v>354202.95872268325</v>
      </c>
      <c r="D1219" s="102">
        <v>0.35862008532564116</v>
      </c>
    </row>
    <row r="1220" spans="2:4" x14ac:dyDescent="0.25">
      <c r="B1220" s="61">
        <v>1187</v>
      </c>
      <c r="C1220" s="61">
        <v>208852.88591256866</v>
      </c>
      <c r="D1220" s="102">
        <v>0.24123571513167952</v>
      </c>
    </row>
    <row r="1221" spans="2:4" x14ac:dyDescent="0.25">
      <c r="B1221" s="61">
        <v>1188</v>
      </c>
      <c r="C1221" s="61">
        <v>181623.09344771574</v>
      </c>
      <c r="D1221" s="102">
        <v>0.21170807923471879</v>
      </c>
    </row>
    <row r="1222" spans="2:4" x14ac:dyDescent="0.25">
      <c r="B1222" s="61">
        <v>1189</v>
      </c>
      <c r="C1222" s="61">
        <v>291416.23819002532</v>
      </c>
      <c r="D1222" s="102">
        <v>0.29968453326282529</v>
      </c>
    </row>
    <row r="1223" spans="2:4" x14ac:dyDescent="0.25">
      <c r="B1223" s="61">
        <v>1190</v>
      </c>
      <c r="C1223" s="61">
        <v>190622.09337725933</v>
      </c>
      <c r="D1223" s="102">
        <v>0.23614650944082571</v>
      </c>
    </row>
    <row r="1224" spans="2:4" x14ac:dyDescent="0.25">
      <c r="B1224" s="61">
        <v>1191</v>
      </c>
      <c r="C1224" s="61">
        <v>294268.74863222358</v>
      </c>
      <c r="D1224" s="102">
        <v>0.34115927059511963</v>
      </c>
    </row>
    <row r="1225" spans="2:4" x14ac:dyDescent="0.25">
      <c r="B1225" s="61">
        <v>1192</v>
      </c>
      <c r="C1225" s="61">
        <v>319756.87015586987</v>
      </c>
      <c r="D1225" s="102">
        <v>0.33883402312749</v>
      </c>
    </row>
    <row r="1226" spans="2:4" x14ac:dyDescent="0.25">
      <c r="B1226" s="61">
        <v>1193</v>
      </c>
      <c r="C1226" s="61">
        <v>247522.13156569051</v>
      </c>
      <c r="D1226" s="102">
        <v>0.25772592189169941</v>
      </c>
    </row>
    <row r="1227" spans="2:4" x14ac:dyDescent="0.25">
      <c r="B1227" s="61">
        <v>1194</v>
      </c>
      <c r="C1227" s="61">
        <v>233992.13235030009</v>
      </c>
      <c r="D1227" s="102">
        <v>0.26325670530113254</v>
      </c>
    </row>
    <row r="1228" spans="2:4" x14ac:dyDescent="0.25">
      <c r="B1228" s="61">
        <v>1195</v>
      </c>
      <c r="C1228" s="61">
        <v>317168.3499917594</v>
      </c>
      <c r="D1228" s="102">
        <v>0.33868599707078295</v>
      </c>
    </row>
    <row r="1229" spans="2:4" x14ac:dyDescent="0.25">
      <c r="B1229" s="61">
        <v>1196</v>
      </c>
      <c r="C1229" s="61">
        <v>278990.31606706895</v>
      </c>
      <c r="D1229" s="102">
        <v>0.26382911692855271</v>
      </c>
    </row>
    <row r="1230" spans="2:4" x14ac:dyDescent="0.25">
      <c r="B1230" s="61">
        <v>1197</v>
      </c>
      <c r="C1230" s="61">
        <v>321152.87321229989</v>
      </c>
      <c r="D1230" s="102">
        <v>0.27668702601381967</v>
      </c>
    </row>
    <row r="1231" spans="2:4" x14ac:dyDescent="0.25">
      <c r="B1231" s="61">
        <v>1198</v>
      </c>
      <c r="C1231" s="61">
        <v>426846.63232471247</v>
      </c>
      <c r="D1231" s="102">
        <v>0.35959841084768196</v>
      </c>
    </row>
    <row r="1232" spans="2:4" x14ac:dyDescent="0.25">
      <c r="B1232" s="61">
        <v>1199</v>
      </c>
      <c r="C1232" s="61">
        <v>145779.66499714454</v>
      </c>
      <c r="D1232" s="102">
        <v>0.19490250024804934</v>
      </c>
    </row>
    <row r="1233" spans="2:4" x14ac:dyDescent="0.25">
      <c r="B1233" s="61">
        <v>1200</v>
      </c>
      <c r="C1233" s="61">
        <v>244380.90250309964</v>
      </c>
      <c r="D1233" s="102">
        <v>0.27837837116003405</v>
      </c>
    </row>
    <row r="1234" spans="2:4" x14ac:dyDescent="0.25">
      <c r="B1234" s="61">
        <v>1201</v>
      </c>
      <c r="C1234" s="61">
        <v>219929.75094225002</v>
      </c>
      <c r="D1234" s="102">
        <v>0.22314854131391648</v>
      </c>
    </row>
    <row r="1235" spans="2:4" x14ac:dyDescent="0.25">
      <c r="B1235" s="61">
        <v>1202</v>
      </c>
      <c r="C1235" s="61">
        <v>91996.384340439108</v>
      </c>
      <c r="D1235" s="102">
        <v>0.12751940878443579</v>
      </c>
    </row>
    <row r="1236" spans="2:4" x14ac:dyDescent="0.25">
      <c r="B1236" s="61">
        <v>1203</v>
      </c>
      <c r="C1236" s="61">
        <v>197627.96746920631</v>
      </c>
      <c r="D1236" s="102">
        <v>0.25268779882586911</v>
      </c>
    </row>
    <row r="1237" spans="2:4" x14ac:dyDescent="0.25">
      <c r="B1237" s="61">
        <v>1204</v>
      </c>
      <c r="C1237" s="61">
        <v>344677.38449494739</v>
      </c>
      <c r="D1237" s="102">
        <v>0.35898283635276651</v>
      </c>
    </row>
    <row r="1238" spans="2:4" x14ac:dyDescent="0.25">
      <c r="B1238" s="61">
        <v>1205</v>
      </c>
      <c r="C1238" s="61">
        <v>584522.53481890378</v>
      </c>
      <c r="D1238" s="102">
        <v>0.46090563708467824</v>
      </c>
    </row>
    <row r="1239" spans="2:4" x14ac:dyDescent="0.25">
      <c r="B1239" s="61">
        <v>1206</v>
      </c>
      <c r="C1239" s="61">
        <v>313652.66192441666</v>
      </c>
      <c r="D1239" s="102">
        <v>0.26463613435350042</v>
      </c>
    </row>
    <row r="1240" spans="2:4" x14ac:dyDescent="0.25">
      <c r="B1240" s="61">
        <v>1207</v>
      </c>
      <c r="C1240" s="61">
        <v>282107.84470066242</v>
      </c>
      <c r="D1240" s="102">
        <v>0.2443090625310782</v>
      </c>
    </row>
    <row r="1241" spans="2:4" x14ac:dyDescent="0.25">
      <c r="B1241" s="61">
        <v>1208</v>
      </c>
      <c r="C1241" s="61">
        <v>497682.46519071667</v>
      </c>
      <c r="D1241" s="102">
        <v>0.44507155552709943</v>
      </c>
    </row>
    <row r="1242" spans="2:4" x14ac:dyDescent="0.25">
      <c r="B1242" s="61">
        <v>1209</v>
      </c>
      <c r="C1242" s="61">
        <v>424648.14294569404</v>
      </c>
      <c r="D1242" s="102">
        <v>0.3031904298571988</v>
      </c>
    </row>
    <row r="1243" spans="2:4" x14ac:dyDescent="0.25">
      <c r="B1243" s="61">
        <v>1210</v>
      </c>
      <c r="C1243" s="61">
        <v>304689.64985155361</v>
      </c>
      <c r="D1243" s="102">
        <v>0.32279701880060974</v>
      </c>
    </row>
    <row r="1244" spans="2:4" x14ac:dyDescent="0.25">
      <c r="B1244" s="61">
        <v>1211</v>
      </c>
      <c r="C1244" s="61">
        <v>316231.89827467292</v>
      </c>
      <c r="D1244" s="102">
        <v>0.2722830556090361</v>
      </c>
    </row>
    <row r="1245" spans="2:4" x14ac:dyDescent="0.25">
      <c r="B1245" s="61">
        <v>1212</v>
      </c>
      <c r="C1245" s="61">
        <v>439310.9915705974</v>
      </c>
      <c r="D1245" s="102">
        <v>0.39936438805700591</v>
      </c>
    </row>
    <row r="1246" spans="2:4" x14ac:dyDescent="0.25">
      <c r="B1246" s="61">
        <v>1213</v>
      </c>
      <c r="C1246" s="61">
        <v>177358.17985503108</v>
      </c>
      <c r="D1246" s="102">
        <v>0.2450424820970678</v>
      </c>
    </row>
    <row r="1247" spans="2:4" x14ac:dyDescent="0.25">
      <c r="B1247" s="61">
        <v>1214</v>
      </c>
      <c r="C1247" s="61">
        <v>489200.94591320062</v>
      </c>
      <c r="D1247" s="102">
        <v>0.42188704093670482</v>
      </c>
    </row>
    <row r="1248" spans="2:4" x14ac:dyDescent="0.25">
      <c r="B1248" s="61">
        <v>1215</v>
      </c>
      <c r="C1248" s="61">
        <v>322781.81756646908</v>
      </c>
      <c r="D1248" s="102">
        <v>0.32614228399671319</v>
      </c>
    </row>
    <row r="1249" spans="2:4" x14ac:dyDescent="0.25">
      <c r="B1249" s="61">
        <v>1216</v>
      </c>
      <c r="C1249" s="61">
        <v>491225.32622267376</v>
      </c>
      <c r="D1249" s="102">
        <v>0.40503494257510497</v>
      </c>
    </row>
    <row r="1250" spans="2:4" x14ac:dyDescent="0.25">
      <c r="B1250" s="61">
        <v>1217</v>
      </c>
      <c r="C1250" s="61">
        <v>347149.28154635231</v>
      </c>
      <c r="D1250" s="102">
        <v>0.36711144841117793</v>
      </c>
    </row>
    <row r="1251" spans="2:4" x14ac:dyDescent="0.25">
      <c r="B1251" s="61">
        <v>1218</v>
      </c>
      <c r="C1251" s="61">
        <v>131835.41387582169</v>
      </c>
      <c r="D1251" s="102">
        <v>0.18826175563319625</v>
      </c>
    </row>
    <row r="1252" spans="2:4" x14ac:dyDescent="0.25">
      <c r="B1252" s="61">
        <v>1219</v>
      </c>
      <c r="C1252" s="61">
        <v>101958.03413116914</v>
      </c>
      <c r="D1252" s="102">
        <v>0.13728862936195863</v>
      </c>
    </row>
    <row r="1253" spans="2:4" x14ac:dyDescent="0.25">
      <c r="B1253" s="61">
        <v>1220</v>
      </c>
      <c r="C1253" s="61">
        <v>134180.89183280163</v>
      </c>
      <c r="D1253" s="102">
        <v>0.19504962934850512</v>
      </c>
    </row>
    <row r="1254" spans="2:4" x14ac:dyDescent="0.25">
      <c r="B1254" s="61">
        <v>1221</v>
      </c>
      <c r="C1254" s="61">
        <v>24322.261026898108</v>
      </c>
      <c r="D1254" s="102">
        <v>8.1257417534017051E-2</v>
      </c>
    </row>
    <row r="1255" spans="2:4" x14ac:dyDescent="0.25">
      <c r="B1255" s="61">
        <v>1222</v>
      </c>
      <c r="C1255" s="61">
        <v>112917.48239898699</v>
      </c>
      <c r="D1255" s="102">
        <v>0.13777062860387401</v>
      </c>
    </row>
    <row r="1256" spans="2:4" x14ac:dyDescent="0.25">
      <c r="B1256" s="61">
        <v>1223</v>
      </c>
      <c r="C1256" s="61">
        <v>382326.52868530364</v>
      </c>
      <c r="D1256" s="102">
        <v>0.37016444348904609</v>
      </c>
    </row>
    <row r="1257" spans="2:4" x14ac:dyDescent="0.25">
      <c r="B1257" s="61">
        <v>1224</v>
      </c>
      <c r="C1257" s="61">
        <v>415631.79141597799</v>
      </c>
      <c r="D1257" s="102">
        <v>0.51010568821144675</v>
      </c>
    </row>
    <row r="1258" spans="2:4" x14ac:dyDescent="0.25">
      <c r="B1258" s="61">
        <v>1225</v>
      </c>
      <c r="C1258" s="61">
        <v>454876.04317431664</v>
      </c>
      <c r="D1258" s="102">
        <v>0.46010350850321635</v>
      </c>
    </row>
    <row r="1259" spans="2:4" x14ac:dyDescent="0.25">
      <c r="B1259" s="61">
        <v>1226</v>
      </c>
      <c r="C1259" s="61">
        <v>245171.88056216587</v>
      </c>
      <c r="D1259" s="102">
        <v>0.30473431787626892</v>
      </c>
    </row>
    <row r="1260" spans="2:4" x14ac:dyDescent="0.25">
      <c r="B1260" s="61">
        <v>1227</v>
      </c>
      <c r="C1260" s="61">
        <v>67784.589857972926</v>
      </c>
      <c r="D1260" s="102">
        <v>0.11653909762259307</v>
      </c>
    </row>
    <row r="1261" spans="2:4" x14ac:dyDescent="0.25">
      <c r="B1261" s="61">
        <v>1228</v>
      </c>
      <c r="C1261" s="61">
        <v>272767.11339032406</v>
      </c>
      <c r="D1261" s="102">
        <v>0.32075418969937086</v>
      </c>
    </row>
    <row r="1262" spans="2:4" x14ac:dyDescent="0.25">
      <c r="B1262" s="61">
        <v>1229</v>
      </c>
      <c r="C1262" s="61">
        <v>-5184.9848221071879</v>
      </c>
      <c r="D1262" s="102">
        <v>5.8936341200896525E-2</v>
      </c>
    </row>
    <row r="1263" spans="2:4" x14ac:dyDescent="0.25">
      <c r="B1263" s="61">
        <v>1230</v>
      </c>
      <c r="C1263" s="61">
        <v>483315.14433786424</v>
      </c>
      <c r="D1263" s="102">
        <v>0.38994518429060498</v>
      </c>
    </row>
    <row r="1264" spans="2:4" x14ac:dyDescent="0.25">
      <c r="B1264" s="61">
        <v>1231</v>
      </c>
      <c r="C1264" s="61">
        <v>216214.34615783428</v>
      </c>
      <c r="D1264" s="102">
        <v>0.23617927360088053</v>
      </c>
    </row>
    <row r="1265" spans="2:4" x14ac:dyDescent="0.25">
      <c r="B1265" s="61">
        <v>1232</v>
      </c>
      <c r="C1265" s="61">
        <v>300849.65913543501</v>
      </c>
      <c r="D1265" s="102">
        <v>0.28612846774335443</v>
      </c>
    </row>
    <row r="1266" spans="2:4" x14ac:dyDescent="0.25">
      <c r="B1266" s="61">
        <v>1233</v>
      </c>
      <c r="C1266" s="61">
        <v>349599.96637561743</v>
      </c>
      <c r="D1266" s="102">
        <v>0.33310267634584578</v>
      </c>
    </row>
    <row r="1267" spans="2:4" x14ac:dyDescent="0.25">
      <c r="B1267" s="61">
        <v>1234</v>
      </c>
      <c r="C1267" s="61">
        <v>154152.19934686995</v>
      </c>
      <c r="D1267" s="102">
        <v>0.16876940460086387</v>
      </c>
    </row>
    <row r="1268" spans="2:4" x14ac:dyDescent="0.25">
      <c r="B1268" s="61">
        <v>1235</v>
      </c>
      <c r="C1268" s="61">
        <v>51193.706855468918</v>
      </c>
      <c r="D1268" s="102">
        <v>0.10580908989425586</v>
      </c>
    </row>
    <row r="1269" spans="2:4" x14ac:dyDescent="0.25">
      <c r="B1269" s="61">
        <v>1236</v>
      </c>
      <c r="C1269" s="61">
        <v>72585.043786628346</v>
      </c>
      <c r="D1269" s="102">
        <v>0.1253185885763084</v>
      </c>
    </row>
    <row r="1270" spans="2:4" x14ac:dyDescent="0.25">
      <c r="B1270" s="61">
        <v>1237</v>
      </c>
      <c r="C1270" s="61">
        <v>326414.30785589572</v>
      </c>
      <c r="D1270" s="102">
        <v>0.33844077925562699</v>
      </c>
    </row>
    <row r="1271" spans="2:4" x14ac:dyDescent="0.25">
      <c r="B1271" s="61">
        <v>1238</v>
      </c>
      <c r="C1271" s="61">
        <v>312723.27522153535</v>
      </c>
      <c r="D1271" s="102">
        <v>0.31685761719715777</v>
      </c>
    </row>
    <row r="1272" spans="2:4" x14ac:dyDescent="0.25">
      <c r="B1272" s="61">
        <v>1239</v>
      </c>
      <c r="C1272" s="61">
        <v>62007.099028744444</v>
      </c>
      <c r="D1272" s="102">
        <v>0.11082489481867008</v>
      </c>
    </row>
    <row r="1273" spans="2:4" x14ac:dyDescent="0.25">
      <c r="B1273" s="61">
        <v>1240</v>
      </c>
      <c r="C1273" s="61">
        <v>260218.53044607153</v>
      </c>
      <c r="D1273" s="102">
        <v>0.26363259459262589</v>
      </c>
    </row>
    <row r="1274" spans="2:4" x14ac:dyDescent="0.25">
      <c r="B1274" s="61">
        <v>1241</v>
      </c>
      <c r="C1274" s="61">
        <v>108606.48705333972</v>
      </c>
      <c r="D1274" s="102">
        <v>0.16514880854170921</v>
      </c>
    </row>
    <row r="1275" spans="2:4" x14ac:dyDescent="0.25">
      <c r="B1275" s="61">
        <v>1242</v>
      </c>
      <c r="C1275" s="61">
        <v>279736.15993712947</v>
      </c>
      <c r="D1275" s="102">
        <v>0.26490760223361609</v>
      </c>
    </row>
    <row r="1276" spans="2:4" x14ac:dyDescent="0.25">
      <c r="B1276" s="61">
        <v>1243</v>
      </c>
      <c r="C1276" s="61">
        <v>320657.20917030168</v>
      </c>
      <c r="D1276" s="102">
        <v>0.33217273000505543</v>
      </c>
    </row>
    <row r="1277" spans="2:4" x14ac:dyDescent="0.25">
      <c r="B1277" s="61">
        <v>1244</v>
      </c>
      <c r="C1277" s="61">
        <v>58490.272571862675</v>
      </c>
      <c r="D1277" s="102">
        <v>0.11792679198432321</v>
      </c>
    </row>
    <row r="1278" spans="2:4" x14ac:dyDescent="0.25">
      <c r="B1278" s="61">
        <v>1245</v>
      </c>
      <c r="C1278" s="61">
        <v>210654.33061668964</v>
      </c>
      <c r="D1278" s="102">
        <v>0.22932191539389102</v>
      </c>
    </row>
    <row r="1279" spans="2:4" x14ac:dyDescent="0.25">
      <c r="B1279" s="61">
        <v>1246</v>
      </c>
      <c r="C1279" s="61">
        <v>329826.5402825675</v>
      </c>
      <c r="D1279" s="102">
        <v>0.30781635956102171</v>
      </c>
    </row>
    <row r="1280" spans="2:4" x14ac:dyDescent="0.25">
      <c r="B1280" s="61">
        <v>1247</v>
      </c>
      <c r="C1280" s="61">
        <v>298562.97520288499</v>
      </c>
      <c r="D1280" s="102">
        <v>0.28323281628340857</v>
      </c>
    </row>
    <row r="1281" spans="2:4" x14ac:dyDescent="0.25">
      <c r="B1281" s="61">
        <v>1248</v>
      </c>
      <c r="C1281" s="61">
        <v>114052.79086555395</v>
      </c>
      <c r="D1281" s="102">
        <v>0.17017987353304531</v>
      </c>
    </row>
    <row r="1282" spans="2:4" x14ac:dyDescent="0.25">
      <c r="B1282" s="61">
        <v>1249</v>
      </c>
      <c r="C1282" s="61">
        <v>35293.921651481243</v>
      </c>
      <c r="D1282" s="102">
        <v>8.7024102968122241E-2</v>
      </c>
    </row>
    <row r="1283" spans="2:4" x14ac:dyDescent="0.25">
      <c r="B1283" s="61">
        <v>1250</v>
      </c>
      <c r="C1283" s="61">
        <v>210025.86106473929</v>
      </c>
      <c r="D1283" s="102">
        <v>0.21503260029554716</v>
      </c>
    </row>
    <row r="1284" spans="2:4" x14ac:dyDescent="0.25">
      <c r="B1284" s="61">
        <v>1251</v>
      </c>
      <c r="C1284" s="61">
        <v>306422.98839121079</v>
      </c>
      <c r="D1284" s="102">
        <v>0.32818845969054267</v>
      </c>
    </row>
    <row r="1285" spans="2:4" x14ac:dyDescent="0.25">
      <c r="B1285" s="61">
        <v>1252</v>
      </c>
      <c r="C1285" s="61">
        <v>188409.93870838545</v>
      </c>
      <c r="D1285" s="102">
        <v>0.19185251073438048</v>
      </c>
    </row>
    <row r="1286" spans="2:4" x14ac:dyDescent="0.25">
      <c r="B1286" s="61">
        <v>1253</v>
      </c>
      <c r="C1286" s="61">
        <v>225977.0531655458</v>
      </c>
      <c r="D1286" s="102">
        <v>0.24172018267515782</v>
      </c>
    </row>
    <row r="1287" spans="2:4" x14ac:dyDescent="0.25">
      <c r="B1287" s="61">
        <v>1254</v>
      </c>
      <c r="C1287" s="61">
        <v>178879.20328775281</v>
      </c>
      <c r="D1287" s="102">
        <v>0.21068744667271666</v>
      </c>
    </row>
    <row r="1288" spans="2:4" x14ac:dyDescent="0.25">
      <c r="B1288" s="61">
        <v>1255</v>
      </c>
      <c r="C1288" s="61">
        <v>276978.37773016165</v>
      </c>
      <c r="D1288" s="102">
        <v>0.27428259209237194</v>
      </c>
    </row>
    <row r="1289" spans="2:4" x14ac:dyDescent="0.25">
      <c r="B1289" s="61">
        <v>1256</v>
      </c>
      <c r="C1289" s="61">
        <v>337497.91988908558</v>
      </c>
      <c r="D1289" s="102">
        <v>0.37730669915236281</v>
      </c>
    </row>
    <row r="1290" spans="2:4" x14ac:dyDescent="0.25">
      <c r="B1290" s="61">
        <v>1257</v>
      </c>
      <c r="C1290" s="61">
        <v>308042.46661995095</v>
      </c>
      <c r="D1290" s="102">
        <v>0.31906977585944807</v>
      </c>
    </row>
    <row r="1291" spans="2:4" x14ac:dyDescent="0.25">
      <c r="B1291" s="61">
        <v>1258</v>
      </c>
      <c r="C1291" s="61">
        <v>447491.58726175374</v>
      </c>
      <c r="D1291" s="102">
        <v>0.44539976958262617</v>
      </c>
    </row>
    <row r="1292" spans="2:4" x14ac:dyDescent="0.25">
      <c r="B1292" s="61">
        <v>1259</v>
      </c>
      <c r="C1292" s="61">
        <v>468009.4989274292</v>
      </c>
      <c r="D1292" s="102">
        <v>0.41031326608007523</v>
      </c>
    </row>
    <row r="1293" spans="2:4" x14ac:dyDescent="0.25">
      <c r="B1293" s="61">
        <v>1260</v>
      </c>
      <c r="C1293" s="61">
        <v>259783.99116159324</v>
      </c>
      <c r="D1293" s="102">
        <v>0.27535827521132794</v>
      </c>
    </row>
    <row r="1294" spans="2:4" x14ac:dyDescent="0.25">
      <c r="B1294" s="61">
        <v>1261</v>
      </c>
      <c r="C1294" s="61">
        <v>185444.35908896115</v>
      </c>
      <c r="D1294" s="102">
        <v>0.24045126316042631</v>
      </c>
    </row>
    <row r="1295" spans="2:4" x14ac:dyDescent="0.25">
      <c r="B1295" s="61">
        <v>1262</v>
      </c>
      <c r="C1295" s="61">
        <v>437171.57550303161</v>
      </c>
      <c r="D1295" s="102">
        <v>0.32767507050138867</v>
      </c>
    </row>
    <row r="1296" spans="2:4" x14ac:dyDescent="0.25">
      <c r="B1296" s="61">
        <v>1263</v>
      </c>
      <c r="C1296" s="61">
        <v>266719.09531559318</v>
      </c>
      <c r="D1296" s="102">
        <v>0.24165778767685842</v>
      </c>
    </row>
    <row r="1297" spans="2:4" x14ac:dyDescent="0.25">
      <c r="B1297" s="61">
        <v>1264</v>
      </c>
      <c r="C1297" s="61">
        <v>4071.9887259753887</v>
      </c>
      <c r="D1297" s="102">
        <v>6.672878482537703E-2</v>
      </c>
    </row>
    <row r="1298" spans="2:4" x14ac:dyDescent="0.25">
      <c r="B1298" s="61">
        <v>1265</v>
      </c>
      <c r="C1298" s="61">
        <v>290672.05101589428</v>
      </c>
      <c r="D1298" s="102">
        <v>0.28707317111515307</v>
      </c>
    </row>
    <row r="1299" spans="2:4" x14ac:dyDescent="0.25">
      <c r="B1299" s="61">
        <v>1266</v>
      </c>
      <c r="C1299" s="61">
        <v>306419.25028062123</v>
      </c>
      <c r="D1299" s="102">
        <v>0.2936287626787959</v>
      </c>
    </row>
    <row r="1300" spans="2:4" x14ac:dyDescent="0.25">
      <c r="B1300" s="61">
        <v>1267</v>
      </c>
      <c r="C1300" s="61">
        <v>407509.22709532781</v>
      </c>
      <c r="D1300" s="102">
        <v>0.35291384100507095</v>
      </c>
    </row>
    <row r="1301" spans="2:4" x14ac:dyDescent="0.25">
      <c r="B1301" s="61">
        <v>1268</v>
      </c>
      <c r="C1301" s="61">
        <v>615856.91974681604</v>
      </c>
      <c r="D1301" s="102">
        <v>0.45987957466645213</v>
      </c>
    </row>
    <row r="1302" spans="2:4" x14ac:dyDescent="0.25">
      <c r="B1302" s="61">
        <v>1269</v>
      </c>
      <c r="C1302" s="61">
        <v>327258.91847452614</v>
      </c>
      <c r="D1302" s="102">
        <v>0.33354648190161362</v>
      </c>
    </row>
    <row r="1303" spans="2:4" x14ac:dyDescent="0.25">
      <c r="B1303" s="61">
        <v>1270</v>
      </c>
      <c r="C1303" s="61">
        <v>483024.1121771367</v>
      </c>
      <c r="D1303" s="102">
        <v>0.35780399013317932</v>
      </c>
    </row>
    <row r="1304" spans="2:4" x14ac:dyDescent="0.25">
      <c r="B1304" s="61">
        <v>1271</v>
      </c>
      <c r="C1304" s="61">
        <v>201373.86872945086</v>
      </c>
      <c r="D1304" s="102">
        <v>0.20631602921616321</v>
      </c>
    </row>
    <row r="1305" spans="2:4" x14ac:dyDescent="0.25">
      <c r="B1305" s="61">
        <v>1272</v>
      </c>
      <c r="C1305" s="61">
        <v>311873.58410325681</v>
      </c>
      <c r="D1305" s="102">
        <v>0.29734740911898672</v>
      </c>
    </row>
    <row r="1306" spans="2:4" x14ac:dyDescent="0.25">
      <c r="B1306" s="61">
        <v>1273</v>
      </c>
      <c r="C1306" s="61">
        <v>226256.01939074963</v>
      </c>
      <c r="D1306" s="102">
        <v>0.23447493208966375</v>
      </c>
    </row>
    <row r="1307" spans="2:4" x14ac:dyDescent="0.25">
      <c r="B1307" s="61">
        <v>1274</v>
      </c>
      <c r="C1307" s="61">
        <v>88648.206902039994</v>
      </c>
      <c r="D1307" s="102">
        <v>0.18363513563767508</v>
      </c>
    </row>
    <row r="1308" spans="2:4" x14ac:dyDescent="0.25">
      <c r="B1308" s="61">
        <v>1275</v>
      </c>
      <c r="C1308" s="61">
        <v>151737.55142406549</v>
      </c>
      <c r="D1308" s="102">
        <v>0.1690659932985632</v>
      </c>
    </row>
    <row r="1309" spans="2:4" x14ac:dyDescent="0.25">
      <c r="B1309" s="61">
        <v>1276</v>
      </c>
      <c r="C1309" s="61">
        <v>256648.64244127297</v>
      </c>
      <c r="D1309" s="102">
        <v>0.24943477210272769</v>
      </c>
    </row>
    <row r="1310" spans="2:4" x14ac:dyDescent="0.25">
      <c r="B1310" s="61">
        <v>1277</v>
      </c>
      <c r="C1310" s="61">
        <v>164359.31948079239</v>
      </c>
      <c r="D1310" s="102">
        <v>0.24559912849470145</v>
      </c>
    </row>
    <row r="1311" spans="2:4" x14ac:dyDescent="0.25">
      <c r="B1311" s="61">
        <v>1278</v>
      </c>
      <c r="C1311" s="61">
        <v>156686.64843042195</v>
      </c>
      <c r="D1311" s="102">
        <v>0.18324442802361807</v>
      </c>
    </row>
    <row r="1312" spans="2:4" x14ac:dyDescent="0.25">
      <c r="B1312" s="61">
        <v>1279</v>
      </c>
      <c r="C1312" s="61">
        <v>437183.23035564704</v>
      </c>
      <c r="D1312" s="102">
        <v>0.41519897809912631</v>
      </c>
    </row>
    <row r="1313" spans="2:4" x14ac:dyDescent="0.25">
      <c r="B1313" s="61">
        <v>1280</v>
      </c>
      <c r="C1313" s="61">
        <v>256490.3407271452</v>
      </c>
      <c r="D1313" s="102">
        <v>0.2365430404403297</v>
      </c>
    </row>
    <row r="1314" spans="2:4" x14ac:dyDescent="0.25">
      <c r="B1314" s="61">
        <v>1281</v>
      </c>
      <c r="C1314" s="61">
        <v>160708.29254538764</v>
      </c>
      <c r="D1314" s="102">
        <v>0.21098703551383591</v>
      </c>
    </row>
    <row r="1315" spans="2:4" x14ac:dyDescent="0.25">
      <c r="B1315" s="61">
        <v>1282</v>
      </c>
      <c r="C1315" s="61">
        <v>542614.2741275077</v>
      </c>
      <c r="D1315" s="102">
        <v>0.37987897557428174</v>
      </c>
    </row>
    <row r="1316" spans="2:4" x14ac:dyDescent="0.25">
      <c r="B1316" s="61">
        <v>1283</v>
      </c>
      <c r="C1316" s="61">
        <v>552927.00628082745</v>
      </c>
      <c r="D1316" s="102">
        <v>0.47811042581503616</v>
      </c>
    </row>
    <row r="1317" spans="2:4" x14ac:dyDescent="0.25">
      <c r="B1317" s="61">
        <v>1284</v>
      </c>
      <c r="C1317" s="61">
        <v>234825.15866984881</v>
      </c>
      <c r="D1317" s="102">
        <v>0.22282715675467601</v>
      </c>
    </row>
    <row r="1318" spans="2:4" x14ac:dyDescent="0.25">
      <c r="B1318" s="61">
        <v>1285</v>
      </c>
      <c r="C1318" s="61">
        <v>18545.96196667006</v>
      </c>
      <c r="D1318" s="102">
        <v>7.7480205647259659E-2</v>
      </c>
    </row>
    <row r="1319" spans="2:4" x14ac:dyDescent="0.25">
      <c r="B1319" s="61">
        <v>1286</v>
      </c>
      <c r="C1319" s="61">
        <v>188860.62329505803</v>
      </c>
      <c r="D1319" s="102">
        <v>0.19355190229054275</v>
      </c>
    </row>
    <row r="1320" spans="2:4" x14ac:dyDescent="0.25">
      <c r="B1320" s="61">
        <v>1287</v>
      </c>
      <c r="C1320" s="61">
        <v>453636.2758632832</v>
      </c>
      <c r="D1320" s="102">
        <v>0.37777026437488637</v>
      </c>
    </row>
    <row r="1321" spans="2:4" x14ac:dyDescent="0.25">
      <c r="B1321" s="61">
        <v>1288</v>
      </c>
      <c r="C1321" s="61">
        <v>341187.79606427159</v>
      </c>
      <c r="D1321" s="102">
        <v>0.28023398210069894</v>
      </c>
    </row>
    <row r="1322" spans="2:4" x14ac:dyDescent="0.25">
      <c r="B1322" s="61">
        <v>1289</v>
      </c>
      <c r="C1322" s="61">
        <v>248432.09015140636</v>
      </c>
      <c r="D1322" s="102">
        <v>0.23691871290798105</v>
      </c>
    </row>
    <row r="1323" spans="2:4" x14ac:dyDescent="0.25">
      <c r="B1323" s="61">
        <v>1290</v>
      </c>
      <c r="C1323" s="61">
        <v>326154.06771680724</v>
      </c>
      <c r="D1323" s="102">
        <v>0.31631136397623494</v>
      </c>
    </row>
    <row r="1324" spans="2:4" x14ac:dyDescent="0.25">
      <c r="B1324" s="61">
        <v>1291</v>
      </c>
      <c r="C1324" s="61">
        <v>217354.72353241523</v>
      </c>
      <c r="D1324" s="102">
        <v>0.25132448343547265</v>
      </c>
    </row>
    <row r="1325" spans="2:4" x14ac:dyDescent="0.25">
      <c r="B1325" s="61">
        <v>1292</v>
      </c>
      <c r="C1325" s="61">
        <v>40530.091393514187</v>
      </c>
      <c r="D1325" s="102">
        <v>9.0747117907650665E-2</v>
      </c>
    </row>
    <row r="1326" spans="2:4" x14ac:dyDescent="0.25">
      <c r="B1326" s="61">
        <v>1293</v>
      </c>
      <c r="C1326" s="61">
        <v>360644.879536052</v>
      </c>
      <c r="D1326" s="102">
        <v>0.37863097155031045</v>
      </c>
    </row>
    <row r="1327" spans="2:4" x14ac:dyDescent="0.25">
      <c r="B1327" s="61">
        <v>1294</v>
      </c>
      <c r="C1327" s="61">
        <v>165716.82124169788</v>
      </c>
      <c r="D1327" s="102">
        <v>0.19304753171410627</v>
      </c>
    </row>
    <row r="1328" spans="2:4" x14ac:dyDescent="0.25">
      <c r="B1328" s="61">
        <v>1295</v>
      </c>
      <c r="C1328" s="61">
        <v>342096.42539150489</v>
      </c>
      <c r="D1328" s="102">
        <v>0.30135645315113457</v>
      </c>
    </row>
    <row r="1329" spans="2:4" x14ac:dyDescent="0.25">
      <c r="B1329" s="61">
        <v>1296</v>
      </c>
      <c r="C1329" s="61">
        <v>3164.10230645095</v>
      </c>
      <c r="D1329" s="102">
        <v>6.5800404792608402E-2</v>
      </c>
    </row>
    <row r="1330" spans="2:4" x14ac:dyDescent="0.25">
      <c r="B1330" s="61">
        <v>1297</v>
      </c>
      <c r="C1330" s="61">
        <v>21773.406221431622</v>
      </c>
      <c r="D1330" s="102">
        <v>8.0930730352159808E-2</v>
      </c>
    </row>
    <row r="1331" spans="2:4" x14ac:dyDescent="0.25">
      <c r="B1331" s="61">
        <v>1298</v>
      </c>
      <c r="C1331" s="61">
        <v>218886.74666730757</v>
      </c>
      <c r="D1331" s="102">
        <v>0.21305608624136596</v>
      </c>
    </row>
    <row r="1332" spans="2:4" x14ac:dyDescent="0.25">
      <c r="B1332" s="61">
        <v>1299</v>
      </c>
      <c r="C1332" s="61">
        <v>129294.29766235041</v>
      </c>
      <c r="D1332" s="102">
        <v>0.1792061062696757</v>
      </c>
    </row>
    <row r="1333" spans="2:4" x14ac:dyDescent="0.25">
      <c r="B1333" s="61">
        <v>1300</v>
      </c>
      <c r="C1333" s="61">
        <v>67689.629126445972</v>
      </c>
      <c r="D1333" s="102">
        <v>0.13573554727163439</v>
      </c>
    </row>
    <row r="1334" spans="2:4" x14ac:dyDescent="0.25">
      <c r="B1334" s="61">
        <v>1301</v>
      </c>
      <c r="C1334" s="61">
        <v>201885.77289538889</v>
      </c>
      <c r="D1334" s="102">
        <v>0.21728554990985738</v>
      </c>
    </row>
    <row r="1335" spans="2:4" x14ac:dyDescent="0.25">
      <c r="B1335" s="61">
        <v>1302</v>
      </c>
      <c r="C1335" s="61">
        <v>72105.253118713445</v>
      </c>
      <c r="D1335" s="102">
        <v>0.11918829165248934</v>
      </c>
    </row>
    <row r="1336" spans="2:4" x14ac:dyDescent="0.25">
      <c r="B1336" s="61">
        <v>1303</v>
      </c>
      <c r="C1336" s="61">
        <v>444766.58099218085</v>
      </c>
      <c r="D1336" s="102">
        <v>0.37112154747294546</v>
      </c>
    </row>
    <row r="1337" spans="2:4" x14ac:dyDescent="0.25">
      <c r="B1337" s="61">
        <v>1304</v>
      </c>
      <c r="C1337" s="61">
        <v>228794.42819909099</v>
      </c>
      <c r="D1337" s="102">
        <v>0.21734971311747464</v>
      </c>
    </row>
    <row r="1338" spans="2:4" x14ac:dyDescent="0.25">
      <c r="B1338" s="61">
        <v>1305</v>
      </c>
      <c r="C1338" s="61">
        <v>419642.65600505704</v>
      </c>
      <c r="D1338" s="102">
        <v>0.36429874563226394</v>
      </c>
    </row>
    <row r="1339" spans="2:4" x14ac:dyDescent="0.25">
      <c r="B1339" s="61">
        <v>1306</v>
      </c>
      <c r="C1339" s="61">
        <v>422718.95595860761</v>
      </c>
      <c r="D1339" s="102">
        <v>0.39589323354533734</v>
      </c>
    </row>
    <row r="1340" spans="2:4" x14ac:dyDescent="0.25">
      <c r="B1340" s="61">
        <v>1307</v>
      </c>
      <c r="C1340" s="61">
        <v>483748.33808608877</v>
      </c>
      <c r="D1340" s="102">
        <v>0.45922504543477571</v>
      </c>
    </row>
    <row r="1341" spans="2:4" x14ac:dyDescent="0.25">
      <c r="B1341" s="61">
        <v>1308</v>
      </c>
      <c r="C1341" s="61">
        <v>316787.11396670435</v>
      </c>
      <c r="D1341" s="102">
        <v>0.26843835574889896</v>
      </c>
    </row>
    <row r="1342" spans="2:4" x14ac:dyDescent="0.25">
      <c r="B1342" s="61">
        <v>1309</v>
      </c>
      <c r="C1342" s="61">
        <v>270040.74925297545</v>
      </c>
      <c r="D1342" s="102">
        <v>0.28721276886163549</v>
      </c>
    </row>
    <row r="1343" spans="2:4" x14ac:dyDescent="0.25">
      <c r="B1343" s="61">
        <v>1310</v>
      </c>
      <c r="C1343" s="61">
        <v>283470.43568131188</v>
      </c>
      <c r="D1343" s="102">
        <v>0.29704325119885544</v>
      </c>
    </row>
    <row r="1344" spans="2:4" x14ac:dyDescent="0.25">
      <c r="B1344" s="61">
        <v>1311</v>
      </c>
      <c r="C1344" s="61">
        <v>521941.11269411515</v>
      </c>
      <c r="D1344" s="102">
        <v>0.41371872288972411</v>
      </c>
    </row>
    <row r="1345" spans="2:4" x14ac:dyDescent="0.25">
      <c r="B1345" s="61">
        <v>1312</v>
      </c>
      <c r="C1345" s="61">
        <v>231816.09915711824</v>
      </c>
      <c r="D1345" s="102">
        <v>0.27778231774575479</v>
      </c>
    </row>
    <row r="1346" spans="2:4" x14ac:dyDescent="0.25">
      <c r="B1346" s="61">
        <v>1313</v>
      </c>
      <c r="C1346" s="61">
        <v>157769.20148435934</v>
      </c>
      <c r="D1346" s="102">
        <v>0.17343974651823468</v>
      </c>
    </row>
    <row r="1347" spans="2:4" x14ac:dyDescent="0.25">
      <c r="B1347" s="61">
        <v>1314</v>
      </c>
      <c r="C1347" s="61">
        <v>121540.0096588608</v>
      </c>
      <c r="D1347" s="102">
        <v>0.15117988384686742</v>
      </c>
    </row>
    <row r="1348" spans="2:4" x14ac:dyDescent="0.25">
      <c r="B1348" s="61">
        <v>1315</v>
      </c>
      <c r="C1348" s="61">
        <v>212505.56514177495</v>
      </c>
      <c r="D1348" s="102">
        <v>0.23807565757487259</v>
      </c>
    </row>
    <row r="1349" spans="2:4" x14ac:dyDescent="0.25">
      <c r="B1349" s="61">
        <v>1316</v>
      </c>
      <c r="C1349" s="61">
        <v>197488.67332344549</v>
      </c>
      <c r="D1349" s="102">
        <v>0.25261157071322859</v>
      </c>
    </row>
    <row r="1350" spans="2:4" x14ac:dyDescent="0.25">
      <c r="B1350" s="61">
        <v>1317</v>
      </c>
      <c r="C1350" s="61">
        <v>312114.60997393273</v>
      </c>
      <c r="D1350" s="102">
        <v>0.33541299377691303</v>
      </c>
    </row>
    <row r="1351" spans="2:4" x14ac:dyDescent="0.25">
      <c r="B1351" s="61">
        <v>1318</v>
      </c>
      <c r="C1351" s="61">
        <v>445891.45527014346</v>
      </c>
      <c r="D1351" s="102">
        <v>0.43221429881503259</v>
      </c>
    </row>
    <row r="1352" spans="2:4" x14ac:dyDescent="0.25">
      <c r="B1352" s="61">
        <v>1319</v>
      </c>
      <c r="C1352" s="61">
        <v>172212.76288994914</v>
      </c>
      <c r="D1352" s="102">
        <v>0.18730669581218007</v>
      </c>
    </row>
    <row r="1353" spans="2:4" x14ac:dyDescent="0.25">
      <c r="B1353" s="61">
        <v>1320</v>
      </c>
      <c r="C1353" s="61">
        <v>447021.53725721489</v>
      </c>
      <c r="D1353" s="102">
        <v>0.41147135994374007</v>
      </c>
    </row>
    <row r="1354" spans="2:4" x14ac:dyDescent="0.25">
      <c r="B1354" s="61">
        <v>1321</v>
      </c>
      <c r="C1354" s="61">
        <v>-35478.693041503953</v>
      </c>
      <c r="D1354" s="102">
        <v>3.7637751218463134E-2</v>
      </c>
    </row>
    <row r="1355" spans="2:4" x14ac:dyDescent="0.25">
      <c r="B1355" s="61">
        <v>1322</v>
      </c>
      <c r="C1355" s="61">
        <v>230066.26058919739</v>
      </c>
      <c r="D1355" s="102">
        <v>0.21298496933810496</v>
      </c>
    </row>
    <row r="1356" spans="2:4" x14ac:dyDescent="0.25">
      <c r="B1356" s="61">
        <v>1323</v>
      </c>
      <c r="C1356" s="61">
        <v>273257.65173359402</v>
      </c>
      <c r="D1356" s="102">
        <v>0.25496390317025397</v>
      </c>
    </row>
    <row r="1357" spans="2:4" x14ac:dyDescent="0.25">
      <c r="B1357" s="61">
        <v>1324</v>
      </c>
      <c r="C1357" s="61">
        <v>159580.06439900736</v>
      </c>
      <c r="D1357" s="102">
        <v>0.20405485582969041</v>
      </c>
    </row>
    <row r="1358" spans="2:4" x14ac:dyDescent="0.25">
      <c r="B1358" s="61">
        <v>1325</v>
      </c>
      <c r="C1358" s="61">
        <v>351144.88208406453</v>
      </c>
      <c r="D1358" s="102">
        <v>0.29856830611399432</v>
      </c>
    </row>
    <row r="1359" spans="2:4" x14ac:dyDescent="0.25">
      <c r="B1359" s="61">
        <v>1326</v>
      </c>
      <c r="C1359" s="61">
        <v>342895.70998907927</v>
      </c>
      <c r="D1359" s="102">
        <v>0.31341668319935434</v>
      </c>
    </row>
    <row r="1360" spans="2:4" x14ac:dyDescent="0.25">
      <c r="B1360" s="61">
        <v>1327</v>
      </c>
      <c r="C1360" s="61">
        <v>194014.09978318575</v>
      </c>
      <c r="D1360" s="102">
        <v>0.21634989290591289</v>
      </c>
    </row>
    <row r="1361" spans="2:4" x14ac:dyDescent="0.25">
      <c r="B1361" s="61">
        <v>1328</v>
      </c>
      <c r="C1361" s="61">
        <v>384208.60309759306</v>
      </c>
      <c r="D1361" s="102">
        <v>0.34011744133612365</v>
      </c>
    </row>
    <row r="1362" spans="2:4" x14ac:dyDescent="0.25">
      <c r="B1362" s="61">
        <v>1329</v>
      </c>
      <c r="C1362" s="61">
        <v>160164.83048777131</v>
      </c>
      <c r="D1362" s="102">
        <v>0.19972924766270395</v>
      </c>
    </row>
    <row r="1363" spans="2:4" x14ac:dyDescent="0.25">
      <c r="B1363" s="61">
        <v>1330</v>
      </c>
      <c r="C1363" s="61">
        <v>261543.77476679615</v>
      </c>
      <c r="D1363" s="102">
        <v>0.28024941334608378</v>
      </c>
    </row>
    <row r="1364" spans="2:4" x14ac:dyDescent="0.25">
      <c r="B1364" s="61">
        <v>1331</v>
      </c>
      <c r="C1364" s="61">
        <v>140318.51414406637</v>
      </c>
      <c r="D1364" s="102">
        <v>0.1984775633647049</v>
      </c>
    </row>
    <row r="1365" spans="2:4" x14ac:dyDescent="0.25">
      <c r="B1365" s="61">
        <v>1332</v>
      </c>
      <c r="C1365" s="61">
        <v>-58908.358893894125</v>
      </c>
      <c r="D1365" s="102">
        <v>1.3292210713324426E-2</v>
      </c>
    </row>
    <row r="1366" spans="2:4" x14ac:dyDescent="0.25">
      <c r="B1366" s="61">
        <v>1333</v>
      </c>
      <c r="C1366" s="61">
        <v>187577.70233214053</v>
      </c>
      <c r="D1366" s="102">
        <v>0.22418988559763342</v>
      </c>
    </row>
    <row r="1367" spans="2:4" x14ac:dyDescent="0.25">
      <c r="B1367" s="61">
        <v>1334</v>
      </c>
      <c r="C1367" s="61">
        <v>2943.9645222206018</v>
      </c>
      <c r="D1367" s="102">
        <v>6.5518282588431065E-2</v>
      </c>
    </row>
    <row r="1368" spans="2:4" x14ac:dyDescent="0.25">
      <c r="B1368" s="61">
        <v>1335</v>
      </c>
      <c r="C1368" s="61">
        <v>274216.51308001019</v>
      </c>
      <c r="D1368" s="102">
        <v>0.29084836587909169</v>
      </c>
    </row>
    <row r="1369" spans="2:4" x14ac:dyDescent="0.25">
      <c r="B1369" s="61">
        <v>1336</v>
      </c>
      <c r="C1369" s="61">
        <v>320806.89674737188</v>
      </c>
      <c r="D1369" s="102">
        <v>0.38578885043331668</v>
      </c>
    </row>
    <row r="1370" spans="2:4" x14ac:dyDescent="0.25">
      <c r="B1370" s="61">
        <v>1337</v>
      </c>
      <c r="C1370" s="61">
        <v>346423.73727143521</v>
      </c>
      <c r="D1370" s="102">
        <v>0.28281210944665713</v>
      </c>
    </row>
    <row r="1371" spans="2:4" x14ac:dyDescent="0.25">
      <c r="B1371" s="61">
        <v>1338</v>
      </c>
      <c r="C1371" s="61">
        <v>113591.4466525286</v>
      </c>
      <c r="D1371" s="102">
        <v>0.1449950637541757</v>
      </c>
    </row>
    <row r="1372" spans="2:4" x14ac:dyDescent="0.25">
      <c r="B1372" s="61">
        <v>1339</v>
      </c>
      <c r="C1372" s="61">
        <v>110355.42927657103</v>
      </c>
      <c r="D1372" s="102">
        <v>0.1660540510705768</v>
      </c>
    </row>
    <row r="1373" spans="2:4" x14ac:dyDescent="0.25">
      <c r="B1373" s="61">
        <v>1340</v>
      </c>
      <c r="C1373" s="61">
        <v>202901.47983951459</v>
      </c>
      <c r="D1373" s="102">
        <v>0.23367210105202263</v>
      </c>
    </row>
    <row r="1374" spans="2:4" x14ac:dyDescent="0.25">
      <c r="B1374" s="61">
        <v>1341</v>
      </c>
      <c r="C1374" s="61">
        <v>201810.1577329979</v>
      </c>
      <c r="D1374" s="102">
        <v>0.2662809468834646</v>
      </c>
    </row>
    <row r="1375" spans="2:4" x14ac:dyDescent="0.25">
      <c r="B1375" s="61">
        <v>1342</v>
      </c>
      <c r="C1375" s="61">
        <v>320259.49523545371</v>
      </c>
      <c r="D1375" s="102">
        <v>0.30806018698922899</v>
      </c>
    </row>
    <row r="1376" spans="2:4" x14ac:dyDescent="0.25">
      <c r="B1376" s="61">
        <v>1343</v>
      </c>
      <c r="C1376" s="61">
        <v>214543.65367432428</v>
      </c>
      <c r="D1376" s="102">
        <v>0.19195009064082269</v>
      </c>
    </row>
    <row r="1377" spans="2:4" x14ac:dyDescent="0.25">
      <c r="B1377" s="61">
        <v>1344</v>
      </c>
      <c r="C1377" s="61">
        <v>110209.96885796543</v>
      </c>
      <c r="D1377" s="102">
        <v>0.1582634412704218</v>
      </c>
    </row>
    <row r="1378" spans="2:4" x14ac:dyDescent="0.25">
      <c r="B1378" s="61">
        <v>1345</v>
      </c>
      <c r="C1378" s="61">
        <v>560236.40989690844</v>
      </c>
      <c r="D1378" s="102">
        <v>0.41026380613717373</v>
      </c>
    </row>
    <row r="1379" spans="2:4" x14ac:dyDescent="0.25">
      <c r="B1379" s="61">
        <v>1346</v>
      </c>
      <c r="C1379" s="61">
        <v>297706.38381086884</v>
      </c>
      <c r="D1379" s="102">
        <v>0.32053613310676687</v>
      </c>
    </row>
    <row r="1380" spans="2:4" x14ac:dyDescent="0.25">
      <c r="B1380" s="61">
        <v>1347</v>
      </c>
      <c r="C1380" s="61">
        <v>308799.38246657059</v>
      </c>
      <c r="D1380" s="102">
        <v>0.25106621383532546</v>
      </c>
    </row>
    <row r="1381" spans="2:4" x14ac:dyDescent="0.25">
      <c r="B1381" s="61">
        <v>1348</v>
      </c>
      <c r="C1381" s="61">
        <v>5379.4007161292247</v>
      </c>
      <c r="D1381" s="102">
        <v>6.7636092992801045E-2</v>
      </c>
    </row>
    <row r="1382" spans="2:4" x14ac:dyDescent="0.25">
      <c r="B1382" s="61">
        <v>1349</v>
      </c>
      <c r="C1382" s="61">
        <v>112743.78620523249</v>
      </c>
      <c r="D1382" s="102">
        <v>0.16457630918444321</v>
      </c>
    </row>
    <row r="1383" spans="2:4" x14ac:dyDescent="0.25">
      <c r="B1383" s="61">
        <v>1350</v>
      </c>
      <c r="C1383" s="61">
        <v>240232.00071625679</v>
      </c>
      <c r="D1383" s="102">
        <v>0.2446531011564681</v>
      </c>
    </row>
    <row r="1384" spans="2:4" x14ac:dyDescent="0.25">
      <c r="B1384" s="61">
        <v>1351</v>
      </c>
      <c r="C1384" s="61">
        <v>232116.33092025842</v>
      </c>
      <c r="D1384" s="102">
        <v>0.22909419703815703</v>
      </c>
    </row>
    <row r="1385" spans="2:4" x14ac:dyDescent="0.25">
      <c r="B1385" s="61">
        <v>1352</v>
      </c>
      <c r="C1385" s="61">
        <v>215055.63408469362</v>
      </c>
      <c r="D1385" s="102">
        <v>0.21854947788890189</v>
      </c>
    </row>
    <row r="1386" spans="2:4" x14ac:dyDescent="0.25">
      <c r="B1386" s="61">
        <v>1353</v>
      </c>
      <c r="C1386" s="61">
        <v>460378.43978479784</v>
      </c>
      <c r="D1386" s="102">
        <v>0.3658908576870834</v>
      </c>
    </row>
    <row r="1387" spans="2:4" x14ac:dyDescent="0.25">
      <c r="B1387" s="61">
        <v>1354</v>
      </c>
      <c r="C1387" s="61">
        <v>341861.95523073047</v>
      </c>
      <c r="D1387" s="102">
        <v>0.29738111298641656</v>
      </c>
    </row>
    <row r="1388" spans="2:4" x14ac:dyDescent="0.25">
      <c r="B1388" s="61">
        <v>1355</v>
      </c>
      <c r="C1388" s="61">
        <v>-57122.728777759126</v>
      </c>
      <c r="D1388" s="102">
        <v>7.3165363714307041E-3</v>
      </c>
    </row>
    <row r="1389" spans="2:4" x14ac:dyDescent="0.25">
      <c r="B1389" s="61">
        <v>1356</v>
      </c>
      <c r="C1389" s="61">
        <v>157215.30780277512</v>
      </c>
      <c r="D1389" s="102">
        <v>0.20872613427088238</v>
      </c>
    </row>
    <row r="1390" spans="2:4" x14ac:dyDescent="0.25">
      <c r="B1390" s="61">
        <v>1357</v>
      </c>
      <c r="C1390" s="61">
        <v>328801.8660751445</v>
      </c>
      <c r="D1390" s="102">
        <v>0.33456147770939482</v>
      </c>
    </row>
    <row r="1391" spans="2:4" x14ac:dyDescent="0.25">
      <c r="B1391" s="61">
        <v>1358</v>
      </c>
      <c r="C1391" s="61">
        <v>333205.15828856826</v>
      </c>
      <c r="D1391" s="102">
        <v>0.30760473514617792</v>
      </c>
    </row>
    <row r="1392" spans="2:4" x14ac:dyDescent="0.25">
      <c r="B1392" s="61">
        <v>1359</v>
      </c>
      <c r="C1392" s="61">
        <v>366277.6396186637</v>
      </c>
      <c r="D1392" s="102">
        <v>0.3358651258502372</v>
      </c>
    </row>
    <row r="1393" spans="2:4" x14ac:dyDescent="0.25">
      <c r="B1393" s="61">
        <v>1360</v>
      </c>
      <c r="C1393" s="61">
        <v>238911.14273390814</v>
      </c>
      <c r="D1393" s="102">
        <v>0.22543116935291607</v>
      </c>
    </row>
    <row r="1394" spans="2:4" x14ac:dyDescent="0.25">
      <c r="B1394" s="61">
        <v>1361</v>
      </c>
      <c r="C1394" s="61">
        <v>623056.37603371032</v>
      </c>
      <c r="D1394" s="102">
        <v>0.53990023814781463</v>
      </c>
    </row>
    <row r="1395" spans="2:4" x14ac:dyDescent="0.25">
      <c r="B1395" s="61">
        <v>1362</v>
      </c>
      <c r="C1395" s="61">
        <v>287037.66624107549</v>
      </c>
      <c r="D1395" s="102">
        <v>0.23998565911794922</v>
      </c>
    </row>
    <row r="1396" spans="2:4" x14ac:dyDescent="0.25">
      <c r="B1396" s="61">
        <v>1363</v>
      </c>
      <c r="C1396" s="61">
        <v>221524.50109059864</v>
      </c>
      <c r="D1396" s="102">
        <v>0.23697578647230166</v>
      </c>
    </row>
    <row r="1397" spans="2:4" x14ac:dyDescent="0.25">
      <c r="B1397" s="61">
        <v>1364</v>
      </c>
      <c r="C1397" s="61">
        <v>71364.584320527676</v>
      </c>
      <c r="D1397" s="102">
        <v>0.1283174895072583</v>
      </c>
    </row>
    <row r="1398" spans="2:4" x14ac:dyDescent="0.25">
      <c r="B1398" s="61">
        <v>1365</v>
      </c>
      <c r="C1398" s="61">
        <v>284328.17640482029</v>
      </c>
      <c r="D1398" s="102">
        <v>0.23744488139099063</v>
      </c>
    </row>
    <row r="1399" spans="2:4" x14ac:dyDescent="0.25">
      <c r="B1399" s="61">
        <v>1366</v>
      </c>
      <c r="C1399" s="61">
        <v>155709.73295783554</v>
      </c>
      <c r="D1399" s="102">
        <v>0.16361606333264844</v>
      </c>
    </row>
    <row r="1400" spans="2:4" x14ac:dyDescent="0.25">
      <c r="B1400" s="61">
        <v>1367</v>
      </c>
      <c r="C1400" s="61">
        <v>271040.34771816654</v>
      </c>
      <c r="D1400" s="102">
        <v>0.3032158422015736</v>
      </c>
    </row>
    <row r="1401" spans="2:4" x14ac:dyDescent="0.25">
      <c r="B1401" s="61">
        <v>1368</v>
      </c>
      <c r="C1401" s="61">
        <v>141521.5525259772</v>
      </c>
      <c r="D1401" s="102">
        <v>0.16538248666443311</v>
      </c>
    </row>
    <row r="1402" spans="2:4" x14ac:dyDescent="0.25">
      <c r="B1402" s="61">
        <v>1369</v>
      </c>
      <c r="C1402" s="61">
        <v>343364.71339574875</v>
      </c>
      <c r="D1402" s="102">
        <v>0.31096217616734467</v>
      </c>
    </row>
    <row r="1403" spans="2:4" x14ac:dyDescent="0.25">
      <c r="B1403" s="61">
        <v>1370</v>
      </c>
      <c r="C1403" s="61">
        <v>202303.85686453071</v>
      </c>
      <c r="D1403" s="102">
        <v>0.2183335295507427</v>
      </c>
    </row>
    <row r="1404" spans="2:4" x14ac:dyDescent="0.25">
      <c r="B1404" s="61">
        <v>1371</v>
      </c>
      <c r="C1404" s="61">
        <v>189895.14500554674</v>
      </c>
      <c r="D1404" s="102">
        <v>0.23704143904057262</v>
      </c>
    </row>
    <row r="1405" spans="2:4" x14ac:dyDescent="0.25">
      <c r="B1405" s="61">
        <v>1372</v>
      </c>
      <c r="C1405" s="61">
        <v>298362.82126018777</v>
      </c>
      <c r="D1405" s="102">
        <v>0.31964655564383304</v>
      </c>
    </row>
    <row r="1406" spans="2:4" x14ac:dyDescent="0.25">
      <c r="B1406" s="61">
        <v>1373</v>
      </c>
      <c r="C1406" s="61">
        <v>352410.8188799955</v>
      </c>
      <c r="D1406" s="102">
        <v>0.36413285567455267</v>
      </c>
    </row>
    <row r="1407" spans="2:4" x14ac:dyDescent="0.25">
      <c r="B1407" s="61">
        <v>1374</v>
      </c>
      <c r="C1407" s="61">
        <v>148280.09228889708</v>
      </c>
      <c r="D1407" s="102">
        <v>0.15921420953284726</v>
      </c>
    </row>
    <row r="1408" spans="2:4" x14ac:dyDescent="0.25">
      <c r="B1408" s="61">
        <v>1375</v>
      </c>
      <c r="C1408" s="61">
        <v>267353.43181833206</v>
      </c>
      <c r="D1408" s="102">
        <v>0.27005525722276791</v>
      </c>
    </row>
    <row r="1409" spans="2:4" x14ac:dyDescent="0.25">
      <c r="B1409" s="61">
        <v>1376</v>
      </c>
      <c r="C1409" s="61">
        <v>78965.975977609749</v>
      </c>
      <c r="D1409" s="102">
        <v>0.12576372378721512</v>
      </c>
    </row>
    <row r="1410" spans="2:4" x14ac:dyDescent="0.25">
      <c r="B1410" s="61">
        <v>1377</v>
      </c>
      <c r="C1410" s="61">
        <v>239994.16091295006</v>
      </c>
      <c r="D1410" s="102">
        <v>0.22930739817404233</v>
      </c>
    </row>
    <row r="1411" spans="2:4" x14ac:dyDescent="0.25">
      <c r="B1411" s="61">
        <v>1378</v>
      </c>
      <c r="C1411" s="61">
        <v>123938.92886983405</v>
      </c>
      <c r="D1411" s="102">
        <v>0.18003577366073165</v>
      </c>
    </row>
    <row r="1412" spans="2:4" x14ac:dyDescent="0.25">
      <c r="B1412" s="61">
        <v>1379</v>
      </c>
      <c r="C1412" s="61">
        <v>400602.36131985311</v>
      </c>
      <c r="D1412" s="102">
        <v>0.36703752341061358</v>
      </c>
    </row>
    <row r="1413" spans="2:4" x14ac:dyDescent="0.25">
      <c r="B1413" s="61">
        <v>1380</v>
      </c>
      <c r="C1413" s="61">
        <v>187628.69296963187</v>
      </c>
      <c r="D1413" s="102">
        <v>0.19237583625795529</v>
      </c>
    </row>
    <row r="1414" spans="2:4" x14ac:dyDescent="0.25">
      <c r="B1414" s="61">
        <v>1381</v>
      </c>
      <c r="C1414" s="61">
        <v>200864.07064104069</v>
      </c>
      <c r="D1414" s="102">
        <v>0.21203034779477004</v>
      </c>
    </row>
    <row r="1415" spans="2:4" x14ac:dyDescent="0.25">
      <c r="B1415" s="61">
        <v>1382</v>
      </c>
      <c r="C1415" s="61">
        <v>-104559.33284193851</v>
      </c>
      <c r="D1415" s="102">
        <v>-3.682213528401701E-2</v>
      </c>
    </row>
    <row r="1416" spans="2:4" x14ac:dyDescent="0.25">
      <c r="B1416" s="61">
        <v>1383</v>
      </c>
      <c r="C1416" s="61">
        <v>510915.53975171235</v>
      </c>
      <c r="D1416" s="102">
        <v>0.41935130076180016</v>
      </c>
    </row>
    <row r="1417" spans="2:4" x14ac:dyDescent="0.25">
      <c r="B1417" s="61">
        <v>1384</v>
      </c>
      <c r="C1417" s="61">
        <v>429906.06753110909</v>
      </c>
      <c r="D1417" s="102">
        <v>0.39097689662201507</v>
      </c>
    </row>
    <row r="1418" spans="2:4" x14ac:dyDescent="0.25">
      <c r="B1418" s="61">
        <v>1385</v>
      </c>
      <c r="C1418" s="61">
        <v>259818.53462722874</v>
      </c>
      <c r="D1418" s="102">
        <v>0.31018547624882742</v>
      </c>
    </row>
    <row r="1419" spans="2:4" x14ac:dyDescent="0.25">
      <c r="B1419" s="61">
        <v>1386</v>
      </c>
      <c r="C1419" s="61">
        <v>129445.39308361762</v>
      </c>
      <c r="D1419" s="102">
        <v>0.15574857566393074</v>
      </c>
    </row>
    <row r="1420" spans="2:4" x14ac:dyDescent="0.25">
      <c r="B1420" s="61">
        <v>1387</v>
      </c>
      <c r="C1420" s="61">
        <v>415293.27044167661</v>
      </c>
      <c r="D1420" s="102">
        <v>0.34769340022130057</v>
      </c>
    </row>
    <row r="1421" spans="2:4" x14ac:dyDescent="0.25">
      <c r="B1421" s="61">
        <v>1388</v>
      </c>
      <c r="C1421" s="61">
        <v>562690.37529215496</v>
      </c>
      <c r="D1421" s="102">
        <v>0.49988534044379884</v>
      </c>
    </row>
    <row r="1422" spans="2:4" x14ac:dyDescent="0.25">
      <c r="B1422" s="61">
        <v>1389</v>
      </c>
      <c r="C1422" s="61">
        <v>273942.39622888202</v>
      </c>
      <c r="D1422" s="102">
        <v>0.2873798183192362</v>
      </c>
    </row>
    <row r="1423" spans="2:4" x14ac:dyDescent="0.25">
      <c r="B1423" s="61">
        <v>1390</v>
      </c>
      <c r="C1423" s="61">
        <v>61906.540970444446</v>
      </c>
      <c r="D1423" s="102">
        <v>0.14135759028834061</v>
      </c>
    </row>
    <row r="1424" spans="2:4" x14ac:dyDescent="0.25">
      <c r="B1424" s="61">
        <v>1391</v>
      </c>
      <c r="C1424" s="61">
        <v>214650.14867574687</v>
      </c>
      <c r="D1424" s="102">
        <v>0.23880013444714532</v>
      </c>
    </row>
    <row r="1425" spans="2:4" x14ac:dyDescent="0.25">
      <c r="B1425" s="61">
        <v>1392</v>
      </c>
      <c r="C1425" s="61">
        <v>346357.62702271051</v>
      </c>
      <c r="D1425" s="102">
        <v>0.38255772638752705</v>
      </c>
    </row>
    <row r="1426" spans="2:4" x14ac:dyDescent="0.25">
      <c r="B1426" s="61">
        <v>1393</v>
      </c>
      <c r="C1426" s="61">
        <v>131477.23269532964</v>
      </c>
      <c r="D1426" s="102">
        <v>0.16187426746339217</v>
      </c>
    </row>
    <row r="1427" spans="2:4" x14ac:dyDescent="0.25">
      <c r="B1427" s="61">
        <v>1394</v>
      </c>
      <c r="C1427" s="61">
        <v>518638.85329963546</v>
      </c>
      <c r="D1427" s="102">
        <v>0.4897503669470189</v>
      </c>
    </row>
    <row r="1428" spans="2:4" x14ac:dyDescent="0.25">
      <c r="B1428" s="61">
        <v>1395</v>
      </c>
      <c r="C1428" s="61">
        <v>346852.98729239649</v>
      </c>
      <c r="D1428" s="102">
        <v>0.29828733416210085</v>
      </c>
    </row>
    <row r="1429" spans="2:4" x14ac:dyDescent="0.25">
      <c r="B1429" s="61">
        <v>1396</v>
      </c>
      <c r="C1429" s="61">
        <v>179382.01097179647</v>
      </c>
      <c r="D1429" s="102">
        <v>0.19412146865522883</v>
      </c>
    </row>
    <row r="1430" spans="2:4" x14ac:dyDescent="0.25">
      <c r="B1430" s="61">
        <v>1397</v>
      </c>
      <c r="C1430" s="61">
        <v>228888.98035924742</v>
      </c>
      <c r="D1430" s="102">
        <v>0.26531780309422248</v>
      </c>
    </row>
    <row r="1431" spans="2:4" x14ac:dyDescent="0.25">
      <c r="B1431" s="61">
        <v>1398</v>
      </c>
      <c r="C1431" s="61">
        <v>275724.15420798236</v>
      </c>
      <c r="D1431" s="102">
        <v>0.2764466170918527</v>
      </c>
    </row>
    <row r="1432" spans="2:4" x14ac:dyDescent="0.25">
      <c r="B1432" s="61">
        <v>1399</v>
      </c>
      <c r="C1432" s="61">
        <v>186360.48324686615</v>
      </c>
      <c r="D1432" s="102">
        <v>0.231100325201409</v>
      </c>
    </row>
    <row r="1433" spans="2:4" x14ac:dyDescent="0.25">
      <c r="B1433" s="61">
        <v>1400</v>
      </c>
      <c r="C1433" s="61">
        <v>309788.80384488101</v>
      </c>
      <c r="D1433" s="102">
        <v>0.31228852948339059</v>
      </c>
    </row>
    <row r="1434" spans="2:4" x14ac:dyDescent="0.25">
      <c r="B1434" s="61">
        <v>1401</v>
      </c>
      <c r="C1434" s="61">
        <v>69513.133911268844</v>
      </c>
      <c r="D1434" s="102">
        <v>0.11928652870439471</v>
      </c>
    </row>
    <row r="1435" spans="2:4" x14ac:dyDescent="0.25">
      <c r="B1435" s="61">
        <v>1402</v>
      </c>
      <c r="C1435" s="61">
        <v>252281.35766539106</v>
      </c>
      <c r="D1435" s="102">
        <v>0.25401006555503147</v>
      </c>
    </row>
    <row r="1436" spans="2:4" x14ac:dyDescent="0.25">
      <c r="B1436" s="61">
        <v>1403</v>
      </c>
      <c r="C1436" s="61">
        <v>249015.46213556675</v>
      </c>
      <c r="D1436" s="102">
        <v>0.28132770462950996</v>
      </c>
    </row>
    <row r="1437" spans="2:4" x14ac:dyDescent="0.25">
      <c r="B1437" s="61">
        <v>1404</v>
      </c>
      <c r="C1437" s="61">
        <v>450512.43471658404</v>
      </c>
      <c r="D1437" s="102">
        <v>0.3649799404674412</v>
      </c>
    </row>
    <row r="1438" spans="2:4" x14ac:dyDescent="0.25">
      <c r="B1438" s="61">
        <v>1405</v>
      </c>
      <c r="C1438" s="61">
        <v>300586.29346524819</v>
      </c>
      <c r="D1438" s="102">
        <v>0.35793308893646336</v>
      </c>
    </row>
    <row r="1439" spans="2:4" x14ac:dyDescent="0.25">
      <c r="B1439" s="61">
        <v>1406</v>
      </c>
      <c r="C1439" s="61">
        <v>316208.92488578393</v>
      </c>
      <c r="D1439" s="102">
        <v>0.28946568884213675</v>
      </c>
    </row>
    <row r="1440" spans="2:4" x14ac:dyDescent="0.25">
      <c r="B1440" s="61">
        <v>1407</v>
      </c>
      <c r="C1440" s="61">
        <v>372708.98776191194</v>
      </c>
      <c r="D1440" s="102">
        <v>0.36360140443970002</v>
      </c>
    </row>
    <row r="1441" spans="2:4" x14ac:dyDescent="0.25">
      <c r="B1441" s="61">
        <v>1408</v>
      </c>
      <c r="C1441" s="61">
        <v>126473.59433912754</v>
      </c>
      <c r="D1441" s="102">
        <v>0.16608438124629066</v>
      </c>
    </row>
    <row r="1442" spans="2:4" x14ac:dyDescent="0.25">
      <c r="B1442" s="61">
        <v>1409</v>
      </c>
      <c r="C1442" s="61">
        <v>85388.704654469853</v>
      </c>
      <c r="D1442" s="102">
        <v>0.12160003728162616</v>
      </c>
    </row>
    <row r="1443" spans="2:4" x14ac:dyDescent="0.25">
      <c r="B1443" s="61">
        <v>1410</v>
      </c>
      <c r="C1443" s="61">
        <v>39527.231392394111</v>
      </c>
      <c r="D1443" s="102">
        <v>8.9668293974145108E-2</v>
      </c>
    </row>
    <row r="1444" spans="2:4" x14ac:dyDescent="0.25">
      <c r="B1444" s="61">
        <v>1411</v>
      </c>
      <c r="C1444" s="61">
        <v>490252.11400601361</v>
      </c>
      <c r="D1444" s="102">
        <v>0.48851902285029447</v>
      </c>
    </row>
    <row r="1445" spans="2:4" x14ac:dyDescent="0.25">
      <c r="B1445" s="61">
        <v>1412</v>
      </c>
      <c r="C1445" s="61">
        <v>316265.8038018737</v>
      </c>
      <c r="D1445" s="102">
        <v>0.29639953633141158</v>
      </c>
    </row>
    <row r="1446" spans="2:4" x14ac:dyDescent="0.25">
      <c r="B1446" s="61">
        <v>1413</v>
      </c>
      <c r="C1446" s="61">
        <v>11311.805563955393</v>
      </c>
      <c r="D1446" s="102">
        <v>7.1799163567771496E-2</v>
      </c>
    </row>
    <row r="1447" spans="2:4" x14ac:dyDescent="0.25">
      <c r="B1447" s="61">
        <v>1414</v>
      </c>
      <c r="C1447" s="61">
        <v>227668.40061615023</v>
      </c>
      <c r="D1447" s="102">
        <v>0.24728425482035465</v>
      </c>
    </row>
    <row r="1448" spans="2:4" x14ac:dyDescent="0.25">
      <c r="B1448" s="61">
        <v>1415</v>
      </c>
      <c r="C1448" s="61">
        <v>383965.716413663</v>
      </c>
      <c r="D1448" s="102">
        <v>0.35614760567499815</v>
      </c>
    </row>
    <row r="1449" spans="2:4" x14ac:dyDescent="0.25">
      <c r="B1449" s="61">
        <v>1416</v>
      </c>
      <c r="C1449" s="61">
        <v>316865.3084651446</v>
      </c>
      <c r="D1449" s="102">
        <v>0.28156416295901288</v>
      </c>
    </row>
    <row r="1450" spans="2:4" x14ac:dyDescent="0.25">
      <c r="B1450" s="61">
        <v>1417</v>
      </c>
      <c r="C1450" s="61">
        <v>251569.2498047211</v>
      </c>
      <c r="D1450" s="102">
        <v>0.2918005987460357</v>
      </c>
    </row>
    <row r="1451" spans="2:4" x14ac:dyDescent="0.25">
      <c r="B1451" s="61">
        <v>1418</v>
      </c>
      <c r="C1451" s="61">
        <v>404875.6435775212</v>
      </c>
      <c r="D1451" s="102">
        <v>0.38994366136893155</v>
      </c>
    </row>
    <row r="1452" spans="2:4" x14ac:dyDescent="0.25">
      <c r="B1452" s="61">
        <v>1419</v>
      </c>
      <c r="C1452" s="61">
        <v>154104.01771433966</v>
      </c>
      <c r="D1452" s="102">
        <v>0.18059835347125608</v>
      </c>
    </row>
    <row r="1453" spans="2:4" x14ac:dyDescent="0.25">
      <c r="B1453" s="61">
        <v>1420</v>
      </c>
      <c r="C1453" s="61">
        <v>243454.09527626936</v>
      </c>
      <c r="D1453" s="102">
        <v>0.23282994781923505</v>
      </c>
    </row>
    <row r="1454" spans="2:4" x14ac:dyDescent="0.25">
      <c r="B1454" s="61">
        <v>1421</v>
      </c>
      <c r="C1454" s="61">
        <v>246559.16659668053</v>
      </c>
      <c r="D1454" s="102">
        <v>0.25542940869590436</v>
      </c>
    </row>
    <row r="1455" spans="2:4" x14ac:dyDescent="0.25">
      <c r="B1455" s="61">
        <v>1422</v>
      </c>
      <c r="C1455" s="61">
        <v>169236.67500876996</v>
      </c>
      <c r="D1455" s="102">
        <v>0.20225858786873174</v>
      </c>
    </row>
    <row r="1456" spans="2:4" x14ac:dyDescent="0.25">
      <c r="B1456" s="61">
        <v>1423</v>
      </c>
      <c r="C1456" s="61">
        <v>62576.325313716894</v>
      </c>
      <c r="D1456" s="102">
        <v>0.11205874487134038</v>
      </c>
    </row>
    <row r="1457" spans="2:4" x14ac:dyDescent="0.25">
      <c r="B1457" s="61">
        <v>1424</v>
      </c>
      <c r="C1457" s="61">
        <v>465147.70051412703</v>
      </c>
      <c r="D1457" s="102">
        <v>0.39764292109738175</v>
      </c>
    </row>
    <row r="1458" spans="2:4" x14ac:dyDescent="0.25">
      <c r="B1458" s="61">
        <v>1425</v>
      </c>
      <c r="C1458" s="61">
        <v>228815.9526121032</v>
      </c>
      <c r="D1458" s="102">
        <v>0.2166523574454311</v>
      </c>
    </row>
    <row r="1459" spans="2:4" x14ac:dyDescent="0.25">
      <c r="B1459" s="61">
        <v>1426</v>
      </c>
      <c r="C1459" s="61">
        <v>228021.67067815096</v>
      </c>
      <c r="D1459" s="102">
        <v>0.24064701583954928</v>
      </c>
    </row>
    <row r="1460" spans="2:4" x14ac:dyDescent="0.25">
      <c r="B1460" s="61">
        <v>1427</v>
      </c>
      <c r="C1460" s="61">
        <v>-11187.912131692283</v>
      </c>
      <c r="D1460" s="102">
        <v>5.4792428617664202E-2</v>
      </c>
    </row>
    <row r="1461" spans="2:4" x14ac:dyDescent="0.25">
      <c r="B1461" s="61">
        <v>1428</v>
      </c>
      <c r="C1461" s="61">
        <v>475224.95043425751</v>
      </c>
      <c r="D1461" s="102">
        <v>0.47235056218215909</v>
      </c>
    </row>
    <row r="1462" spans="2:4" x14ac:dyDescent="0.25">
      <c r="B1462" s="61">
        <v>1429</v>
      </c>
      <c r="C1462" s="61">
        <v>249162.1572850151</v>
      </c>
      <c r="D1462" s="102">
        <v>0.25546095075036934</v>
      </c>
    </row>
    <row r="1463" spans="2:4" x14ac:dyDescent="0.25">
      <c r="B1463" s="61">
        <v>1430</v>
      </c>
      <c r="C1463" s="61">
        <v>114362.17009357561</v>
      </c>
      <c r="D1463" s="102">
        <v>0.18180534206223897</v>
      </c>
    </row>
    <row r="1464" spans="2:4" x14ac:dyDescent="0.25">
      <c r="B1464" s="61">
        <v>1431</v>
      </c>
      <c r="C1464" s="61">
        <v>221947.25799159845</v>
      </c>
      <c r="D1464" s="102">
        <v>0.20493097952149109</v>
      </c>
    </row>
    <row r="1465" spans="2:4" x14ac:dyDescent="0.25">
      <c r="B1465" s="61">
        <v>1432</v>
      </c>
      <c r="C1465" s="61">
        <v>231076.9822740081</v>
      </c>
      <c r="D1465" s="102">
        <v>0.29212639209862878</v>
      </c>
    </row>
    <row r="1466" spans="2:4" x14ac:dyDescent="0.25">
      <c r="B1466" s="61">
        <v>1433</v>
      </c>
      <c r="C1466" s="61">
        <v>260341.1760602158</v>
      </c>
      <c r="D1466" s="102">
        <v>0.28278431091201073</v>
      </c>
    </row>
    <row r="1467" spans="2:4" x14ac:dyDescent="0.25">
      <c r="B1467" s="61">
        <v>1434</v>
      </c>
      <c r="C1467" s="61">
        <v>107607.57462034188</v>
      </c>
      <c r="D1467" s="102">
        <v>0.14554564104852186</v>
      </c>
    </row>
    <row r="1468" spans="2:4" x14ac:dyDescent="0.25">
      <c r="B1468" s="61">
        <v>1435</v>
      </c>
      <c r="C1468" s="61">
        <v>311089.42659242183</v>
      </c>
      <c r="D1468" s="102">
        <v>0.31393652407742767</v>
      </c>
    </row>
    <row r="1469" spans="2:4" x14ac:dyDescent="0.25">
      <c r="B1469" s="61">
        <v>1436</v>
      </c>
      <c r="C1469" s="61">
        <v>248029.03755053715</v>
      </c>
      <c r="D1469" s="102">
        <v>0.26989822701613675</v>
      </c>
    </row>
    <row r="1470" spans="2:4" x14ac:dyDescent="0.25">
      <c r="B1470" s="61">
        <v>1437</v>
      </c>
      <c r="C1470" s="61">
        <v>276939.53348675778</v>
      </c>
      <c r="D1470" s="102">
        <v>0.27339042424903015</v>
      </c>
    </row>
    <row r="1471" spans="2:4" x14ac:dyDescent="0.25">
      <c r="B1471" s="61">
        <v>1438</v>
      </c>
      <c r="C1471" s="61">
        <v>258639.0551147121</v>
      </c>
      <c r="D1471" s="102">
        <v>0.2756388300325272</v>
      </c>
    </row>
    <row r="1472" spans="2:4" x14ac:dyDescent="0.25">
      <c r="B1472" s="61">
        <v>1439</v>
      </c>
      <c r="C1472" s="61">
        <v>193416.14947047271</v>
      </c>
      <c r="D1472" s="102">
        <v>0.21109217710944894</v>
      </c>
    </row>
    <row r="1473" spans="2:4" x14ac:dyDescent="0.25">
      <c r="B1473" s="61">
        <v>1440</v>
      </c>
      <c r="C1473" s="61">
        <v>284949.54810777132</v>
      </c>
      <c r="D1473" s="102">
        <v>0.31644623988656551</v>
      </c>
    </row>
    <row r="1474" spans="2:4" x14ac:dyDescent="0.25">
      <c r="B1474" s="61">
        <v>1441</v>
      </c>
      <c r="C1474" s="61">
        <v>374187.98260130826</v>
      </c>
      <c r="D1474" s="102">
        <v>0.3261455242782576</v>
      </c>
    </row>
    <row r="1475" spans="2:4" x14ac:dyDescent="0.25">
      <c r="B1475" s="61">
        <v>1442</v>
      </c>
      <c r="C1475" s="61">
        <v>430909.26298446499</v>
      </c>
      <c r="D1475" s="102">
        <v>0.34608255735695881</v>
      </c>
    </row>
    <row r="1476" spans="2:4" x14ac:dyDescent="0.25">
      <c r="B1476" s="61">
        <v>1443</v>
      </c>
      <c r="C1476" s="61">
        <v>216264.14350268559</v>
      </c>
      <c r="D1476" s="102">
        <v>0.20920965028705774</v>
      </c>
    </row>
    <row r="1477" spans="2:4" x14ac:dyDescent="0.25">
      <c r="B1477" s="61">
        <v>1444</v>
      </c>
      <c r="C1477" s="61">
        <v>185514.65873174672</v>
      </c>
      <c r="D1477" s="102">
        <v>0.22166406947180506</v>
      </c>
    </row>
    <row r="1478" spans="2:4" x14ac:dyDescent="0.25">
      <c r="B1478" s="61">
        <v>1445</v>
      </c>
      <c r="C1478" s="61">
        <v>245344.91590888682</v>
      </c>
      <c r="D1478" s="102">
        <v>0.28077796467989535</v>
      </c>
    </row>
    <row r="1479" spans="2:4" x14ac:dyDescent="0.25">
      <c r="B1479" s="61">
        <v>1446</v>
      </c>
      <c r="C1479" s="61">
        <v>33495.103009745886</v>
      </c>
      <c r="D1479" s="102">
        <v>9.1281971014241625E-2</v>
      </c>
    </row>
    <row r="1480" spans="2:4" x14ac:dyDescent="0.25">
      <c r="B1480" s="61">
        <v>1447</v>
      </c>
      <c r="C1480" s="61">
        <v>67449.329523720313</v>
      </c>
      <c r="D1480" s="102">
        <v>0.10976885396870362</v>
      </c>
    </row>
    <row r="1481" spans="2:4" x14ac:dyDescent="0.25">
      <c r="B1481" s="61">
        <v>1448</v>
      </c>
      <c r="C1481" s="61">
        <v>124893.31509182713</v>
      </c>
      <c r="D1481" s="102">
        <v>0.17526285500989003</v>
      </c>
    </row>
    <row r="1482" spans="2:4" x14ac:dyDescent="0.25">
      <c r="B1482" s="61">
        <v>1449</v>
      </c>
      <c r="C1482" s="61">
        <v>247558.48050961248</v>
      </c>
      <c r="D1482" s="102">
        <v>0.23456546183637728</v>
      </c>
    </row>
    <row r="1483" spans="2:4" x14ac:dyDescent="0.25">
      <c r="B1483" s="61">
        <v>1450</v>
      </c>
      <c r="C1483" s="61">
        <v>230127.89649697754</v>
      </c>
      <c r="D1483" s="102">
        <v>0.28927440627325396</v>
      </c>
    </row>
    <row r="1484" spans="2:4" x14ac:dyDescent="0.25">
      <c r="B1484" s="61">
        <v>1451</v>
      </c>
      <c r="C1484" s="61">
        <v>372203.04661261057</v>
      </c>
      <c r="D1484" s="102">
        <v>0.32371943077994625</v>
      </c>
    </row>
    <row r="1485" spans="2:4" x14ac:dyDescent="0.25">
      <c r="B1485" s="61">
        <v>1452</v>
      </c>
      <c r="C1485" s="61">
        <v>314120.92134601308</v>
      </c>
      <c r="D1485" s="102">
        <v>0.36909135762639766</v>
      </c>
    </row>
    <row r="1486" spans="2:4" x14ac:dyDescent="0.25">
      <c r="B1486" s="61">
        <v>1453</v>
      </c>
      <c r="C1486" s="61">
        <v>318709.53602396045</v>
      </c>
      <c r="D1486" s="102">
        <v>0.38914085007424615</v>
      </c>
    </row>
    <row r="1487" spans="2:4" x14ac:dyDescent="0.25">
      <c r="B1487" s="61">
        <v>1454</v>
      </c>
      <c r="C1487" s="61">
        <v>354852.35960003838</v>
      </c>
      <c r="D1487" s="102">
        <v>0.34578250357295759</v>
      </c>
    </row>
    <row r="1488" spans="2:4" x14ac:dyDescent="0.25">
      <c r="B1488" s="61">
        <v>1455</v>
      </c>
      <c r="C1488" s="61">
        <v>188076.23824241117</v>
      </c>
      <c r="D1488" s="102">
        <v>0.19519178946561833</v>
      </c>
    </row>
    <row r="1489" spans="2:4" x14ac:dyDescent="0.25">
      <c r="B1489" s="61">
        <v>1456</v>
      </c>
      <c r="C1489" s="61">
        <v>106413.60127123957</v>
      </c>
      <c r="D1489" s="102">
        <v>0.1435609148836765</v>
      </c>
    </row>
    <row r="1490" spans="2:4" x14ac:dyDescent="0.25">
      <c r="B1490" s="61">
        <v>1457</v>
      </c>
      <c r="C1490" s="61">
        <v>108001.85115349165</v>
      </c>
      <c r="D1490" s="102">
        <v>0.13734306700531373</v>
      </c>
    </row>
    <row r="1491" spans="2:4" x14ac:dyDescent="0.25">
      <c r="B1491" s="61">
        <v>1458</v>
      </c>
      <c r="C1491" s="61">
        <v>220846.2142594537</v>
      </c>
      <c r="D1491" s="102">
        <v>0.21787470297016709</v>
      </c>
    </row>
    <row r="1492" spans="2:4" x14ac:dyDescent="0.25">
      <c r="B1492" s="61">
        <v>1459</v>
      </c>
      <c r="C1492" s="61">
        <v>460335.80334445671</v>
      </c>
      <c r="D1492" s="102">
        <v>0.38985397938810751</v>
      </c>
    </row>
    <row r="1493" spans="2:4" x14ac:dyDescent="0.25">
      <c r="B1493" s="61">
        <v>1460</v>
      </c>
      <c r="C1493" s="61">
        <v>265952.7623876438</v>
      </c>
      <c r="D1493" s="102">
        <v>0.30449360448935114</v>
      </c>
    </row>
    <row r="1494" spans="2:4" x14ac:dyDescent="0.25">
      <c r="B1494" s="61">
        <v>1461</v>
      </c>
      <c r="C1494" s="61">
        <v>-756.07720603444614</v>
      </c>
      <c r="D1494" s="102">
        <v>6.2790400338284869E-2</v>
      </c>
    </row>
    <row r="1495" spans="2:4" x14ac:dyDescent="0.25">
      <c r="B1495" s="61">
        <v>1462</v>
      </c>
      <c r="C1495" s="61">
        <v>150658.89024496492</v>
      </c>
      <c r="D1495" s="102">
        <v>0.18839828580332552</v>
      </c>
    </row>
    <row r="1496" spans="2:4" x14ac:dyDescent="0.25">
      <c r="B1496" s="61">
        <v>1463</v>
      </c>
      <c r="C1496" s="61">
        <v>329156.75385152258</v>
      </c>
      <c r="D1496" s="102">
        <v>0.27285445591142166</v>
      </c>
    </row>
    <row r="1497" spans="2:4" x14ac:dyDescent="0.25">
      <c r="B1497" s="61">
        <v>1464</v>
      </c>
      <c r="C1497" s="61">
        <v>284548.53978522005</v>
      </c>
      <c r="D1497" s="102">
        <v>0.38020342353138026</v>
      </c>
    </row>
    <row r="1498" spans="2:4" x14ac:dyDescent="0.25">
      <c r="B1498" s="61">
        <v>1465</v>
      </c>
      <c r="C1498" s="61">
        <v>456930.91955069278</v>
      </c>
      <c r="D1498" s="102">
        <v>0.33783611260572366</v>
      </c>
    </row>
    <row r="1499" spans="2:4" x14ac:dyDescent="0.25">
      <c r="B1499" s="61">
        <v>1466</v>
      </c>
      <c r="C1499" s="61">
        <v>417122.76380474225</v>
      </c>
      <c r="D1499" s="102">
        <v>0.37184656372948366</v>
      </c>
    </row>
    <row r="1500" spans="2:4" x14ac:dyDescent="0.25">
      <c r="B1500" s="61">
        <v>1467</v>
      </c>
      <c r="C1500" s="61">
        <v>281028.94567492732</v>
      </c>
      <c r="D1500" s="102">
        <v>0.28812389386862303</v>
      </c>
    </row>
    <row r="1501" spans="2:4" x14ac:dyDescent="0.25">
      <c r="B1501" s="61">
        <v>1468</v>
      </c>
      <c r="C1501" s="61">
        <v>282075.64442273707</v>
      </c>
      <c r="D1501" s="102">
        <v>0.31679448597189985</v>
      </c>
    </row>
    <row r="1502" spans="2:4" x14ac:dyDescent="0.25">
      <c r="B1502" s="61">
        <v>1469</v>
      </c>
      <c r="C1502" s="61">
        <v>440552.74559268623</v>
      </c>
      <c r="D1502" s="102">
        <v>0.40715747005187231</v>
      </c>
    </row>
    <row r="1503" spans="2:4" x14ac:dyDescent="0.25">
      <c r="B1503" s="61">
        <v>1470</v>
      </c>
      <c r="C1503" s="61">
        <v>285501.83339622489</v>
      </c>
      <c r="D1503" s="102">
        <v>0.27172383966653335</v>
      </c>
    </row>
    <row r="1504" spans="2:4" x14ac:dyDescent="0.25">
      <c r="B1504" s="61">
        <v>1471</v>
      </c>
      <c r="C1504" s="61">
        <v>277919.83612941264</v>
      </c>
      <c r="D1504" s="102">
        <v>0.2676979460354163</v>
      </c>
    </row>
    <row r="1505" spans="2:4" x14ac:dyDescent="0.25">
      <c r="B1505" s="61">
        <v>1472</v>
      </c>
      <c r="C1505" s="61">
        <v>52446.08968527976</v>
      </c>
      <c r="D1505" s="102">
        <v>0.10582911937428352</v>
      </c>
    </row>
    <row r="1506" spans="2:4" x14ac:dyDescent="0.25">
      <c r="B1506" s="61">
        <v>1473</v>
      </c>
      <c r="C1506" s="61">
        <v>337498.98825433175</v>
      </c>
      <c r="D1506" s="102">
        <v>0.36801918144319323</v>
      </c>
    </row>
    <row r="1507" spans="2:4" x14ac:dyDescent="0.25">
      <c r="B1507" s="61">
        <v>1474</v>
      </c>
      <c r="C1507" s="61">
        <v>308560.44916674099</v>
      </c>
      <c r="D1507" s="102">
        <v>0.34379752538308317</v>
      </c>
    </row>
    <row r="1508" spans="2:4" x14ac:dyDescent="0.25">
      <c r="B1508" s="61">
        <v>1475</v>
      </c>
      <c r="C1508" s="61">
        <v>344144.44161940087</v>
      </c>
      <c r="D1508" s="102">
        <v>0.40274155448112303</v>
      </c>
    </row>
    <row r="1509" spans="2:4" x14ac:dyDescent="0.25">
      <c r="B1509" s="61">
        <v>1476</v>
      </c>
      <c r="C1509" s="61">
        <v>170685.58644695545</v>
      </c>
      <c r="D1509" s="102">
        <v>0.22959237755736339</v>
      </c>
    </row>
    <row r="1510" spans="2:4" x14ac:dyDescent="0.25">
      <c r="B1510" s="61">
        <v>1477</v>
      </c>
      <c r="C1510" s="61">
        <v>428521.96803554846</v>
      </c>
      <c r="D1510" s="102">
        <v>0.3565884306438345</v>
      </c>
    </row>
    <row r="1511" spans="2:4" x14ac:dyDescent="0.25">
      <c r="B1511" s="61">
        <v>1478</v>
      </c>
      <c r="C1511" s="61">
        <v>283430.1738532352</v>
      </c>
      <c r="D1511" s="102">
        <v>0.28658301553649879</v>
      </c>
    </row>
    <row r="1512" spans="2:4" x14ac:dyDescent="0.25">
      <c r="B1512" s="61">
        <v>1479</v>
      </c>
      <c r="C1512" s="61">
        <v>376979.74276727182</v>
      </c>
      <c r="D1512" s="102">
        <v>0.37594859635813949</v>
      </c>
    </row>
    <row r="1513" spans="2:4" x14ac:dyDescent="0.25">
      <c r="B1513" s="61">
        <v>1480</v>
      </c>
      <c r="C1513" s="61">
        <v>333591.85475303757</v>
      </c>
      <c r="D1513" s="102">
        <v>0.29882538528875546</v>
      </c>
    </row>
    <row r="1514" spans="2:4" x14ac:dyDescent="0.25">
      <c r="B1514" s="61">
        <v>1481</v>
      </c>
      <c r="C1514" s="61">
        <v>204776.64128195879</v>
      </c>
      <c r="D1514" s="102">
        <v>0.22203117286941398</v>
      </c>
    </row>
    <row r="1515" spans="2:4" x14ac:dyDescent="0.25">
      <c r="B1515" s="61">
        <v>1482</v>
      </c>
      <c r="C1515" s="61">
        <v>304639.59183080995</v>
      </c>
      <c r="D1515" s="102">
        <v>0.27304425793407283</v>
      </c>
    </row>
    <row r="1516" spans="2:4" x14ac:dyDescent="0.25">
      <c r="B1516" s="61">
        <v>1483</v>
      </c>
      <c r="C1516" s="61">
        <v>296951.03535832919</v>
      </c>
      <c r="D1516" s="102">
        <v>0.3214703487939361</v>
      </c>
    </row>
    <row r="1517" spans="2:4" x14ac:dyDescent="0.25">
      <c r="B1517" s="61">
        <v>1484</v>
      </c>
      <c r="C1517" s="61">
        <v>118885.92220247962</v>
      </c>
      <c r="D1517" s="102">
        <v>0.17062617806052738</v>
      </c>
    </row>
    <row r="1518" spans="2:4" x14ac:dyDescent="0.25">
      <c r="B1518" s="61">
        <v>1485</v>
      </c>
      <c r="C1518" s="61">
        <v>135480.42868631857</v>
      </c>
      <c r="D1518" s="102">
        <v>0.17218807901983446</v>
      </c>
    </row>
    <row r="1519" spans="2:4" x14ac:dyDescent="0.25">
      <c r="B1519" s="61">
        <v>1486</v>
      </c>
      <c r="C1519" s="61">
        <v>423936.28066765401</v>
      </c>
      <c r="D1519" s="102">
        <v>0.4074675982993563</v>
      </c>
    </row>
    <row r="1520" spans="2:4" x14ac:dyDescent="0.25">
      <c r="B1520" s="61">
        <v>1487</v>
      </c>
      <c r="C1520" s="61">
        <v>251985.43099429714</v>
      </c>
      <c r="D1520" s="102">
        <v>0.25514001738736125</v>
      </c>
    </row>
    <row r="1521" spans="2:4" x14ac:dyDescent="0.25">
      <c r="B1521" s="61">
        <v>1488</v>
      </c>
      <c r="C1521" s="61">
        <v>147206.22829928534</v>
      </c>
      <c r="D1521" s="102">
        <v>0.19900030181088768</v>
      </c>
    </row>
    <row r="1522" spans="2:4" x14ac:dyDescent="0.25">
      <c r="B1522" s="61">
        <v>1489</v>
      </c>
      <c r="C1522" s="61">
        <v>255941.99532715546</v>
      </c>
      <c r="D1522" s="102">
        <v>0.26198379022801932</v>
      </c>
    </row>
    <row r="1523" spans="2:4" x14ac:dyDescent="0.25">
      <c r="B1523" s="61">
        <v>1490</v>
      </c>
      <c r="C1523" s="61">
        <v>114441.82055559987</v>
      </c>
      <c r="D1523" s="102">
        <v>0.14676972143687284</v>
      </c>
    </row>
    <row r="1524" spans="2:4" x14ac:dyDescent="0.25">
      <c r="B1524" s="61">
        <v>1491</v>
      </c>
      <c r="C1524" s="61">
        <v>251744.58718549798</v>
      </c>
      <c r="D1524" s="102">
        <v>0.24976290455383166</v>
      </c>
    </row>
    <row r="1525" spans="2:4" x14ac:dyDescent="0.25">
      <c r="B1525" s="61">
        <v>1492</v>
      </c>
      <c r="C1525" s="61">
        <v>301589.90862761438</v>
      </c>
      <c r="D1525" s="102">
        <v>0.27390543631933184</v>
      </c>
    </row>
    <row r="1526" spans="2:4" x14ac:dyDescent="0.25">
      <c r="B1526" s="61">
        <v>1493</v>
      </c>
      <c r="C1526" s="61">
        <v>211127.42091921344</v>
      </c>
      <c r="D1526" s="102">
        <v>0.20363373088252246</v>
      </c>
    </row>
    <row r="1527" spans="2:4" x14ac:dyDescent="0.25">
      <c r="B1527" s="61">
        <v>1494</v>
      </c>
      <c r="C1527" s="61">
        <v>385650.12431719771</v>
      </c>
      <c r="D1527" s="102">
        <v>0.37118249677728365</v>
      </c>
    </row>
    <row r="1528" spans="2:4" x14ac:dyDescent="0.25">
      <c r="B1528" s="61">
        <v>1495</v>
      </c>
      <c r="C1528" s="61">
        <v>62917.418535742036</v>
      </c>
      <c r="D1528" s="102">
        <v>0.14192208720219202</v>
      </c>
    </row>
    <row r="1529" spans="2:4" x14ac:dyDescent="0.25">
      <c r="B1529" s="61">
        <v>1496</v>
      </c>
      <c r="C1529" s="61">
        <v>310866.86456495163</v>
      </c>
      <c r="D1529" s="102">
        <v>0.26907975257989691</v>
      </c>
    </row>
    <row r="1530" spans="2:4" x14ac:dyDescent="0.25">
      <c r="B1530" s="61">
        <v>1497</v>
      </c>
      <c r="C1530" s="61">
        <v>220785.2784532255</v>
      </c>
      <c r="D1530" s="102">
        <v>0.23357418411225939</v>
      </c>
    </row>
    <row r="1531" spans="2:4" x14ac:dyDescent="0.25">
      <c r="B1531" s="61">
        <v>1498</v>
      </c>
      <c r="C1531" s="61">
        <v>247448.93182304746</v>
      </c>
      <c r="D1531" s="102">
        <v>0.25382237081431791</v>
      </c>
    </row>
    <row r="1532" spans="2:4" x14ac:dyDescent="0.25">
      <c r="B1532" s="61">
        <v>1499</v>
      </c>
      <c r="C1532" s="61">
        <v>372792.78091679455</v>
      </c>
      <c r="D1532" s="102">
        <v>0.41379363863928043</v>
      </c>
    </row>
    <row r="1533" spans="2:4" x14ac:dyDescent="0.25">
      <c r="B1533" s="61">
        <v>1500</v>
      </c>
      <c r="C1533" s="61">
        <v>99492.966043922177</v>
      </c>
      <c r="D1533" s="102">
        <v>0.13549464913199061</v>
      </c>
    </row>
    <row r="1534" spans="2:4" x14ac:dyDescent="0.25">
      <c r="B1534" s="61">
        <v>1501</v>
      </c>
      <c r="C1534" s="61">
        <v>298255.27825594333</v>
      </c>
      <c r="D1534" s="102">
        <v>0.25102557746171428</v>
      </c>
    </row>
    <row r="1535" spans="2:4" x14ac:dyDescent="0.25">
      <c r="B1535" s="61">
        <v>1502</v>
      </c>
      <c r="C1535" s="61">
        <v>325831.24086629634</v>
      </c>
      <c r="D1535" s="102">
        <v>0.27097629856302441</v>
      </c>
    </row>
    <row r="1536" spans="2:4" x14ac:dyDescent="0.25">
      <c r="B1536" s="61">
        <v>1503</v>
      </c>
      <c r="C1536" s="61">
        <v>309362.58178343705</v>
      </c>
      <c r="D1536" s="102">
        <v>0.32300665148143048</v>
      </c>
    </row>
    <row r="1537" spans="2:4" x14ac:dyDescent="0.25">
      <c r="B1537" s="61">
        <v>1504</v>
      </c>
      <c r="C1537" s="61">
        <v>200642.8990310122</v>
      </c>
      <c r="D1537" s="102">
        <v>0.2012908945080214</v>
      </c>
    </row>
    <row r="1538" spans="2:4" x14ac:dyDescent="0.25">
      <c r="B1538" s="61">
        <v>1505</v>
      </c>
      <c r="C1538" s="61">
        <v>359424.49849112169</v>
      </c>
      <c r="D1538" s="102">
        <v>0.31150049624331699</v>
      </c>
    </row>
    <row r="1539" spans="2:4" x14ac:dyDescent="0.25">
      <c r="B1539" s="61">
        <v>1506</v>
      </c>
      <c r="C1539" s="61">
        <v>460135.26844920591</v>
      </c>
      <c r="D1539" s="102">
        <v>0.39808544779038302</v>
      </c>
    </row>
    <row r="1540" spans="2:4" x14ac:dyDescent="0.25">
      <c r="B1540" s="61">
        <v>1507</v>
      </c>
      <c r="C1540" s="61">
        <v>182350.98274265218</v>
      </c>
      <c r="D1540" s="102">
        <v>0.19077259549377201</v>
      </c>
    </row>
    <row r="1541" spans="2:4" x14ac:dyDescent="0.25">
      <c r="B1541" s="61">
        <v>1508</v>
      </c>
      <c r="C1541" s="61">
        <v>92959.447964591731</v>
      </c>
      <c r="D1541" s="102">
        <v>0.13440691104354352</v>
      </c>
    </row>
    <row r="1542" spans="2:4" x14ac:dyDescent="0.25">
      <c r="B1542" s="61">
        <v>1509</v>
      </c>
      <c r="C1542" s="61">
        <v>247521.61188774637</v>
      </c>
      <c r="D1542" s="102">
        <v>0.21973822960533074</v>
      </c>
    </row>
    <row r="1543" spans="2:4" x14ac:dyDescent="0.25">
      <c r="B1543" s="61">
        <v>1510</v>
      </c>
      <c r="C1543" s="61">
        <v>169417.44718912581</v>
      </c>
      <c r="D1543" s="102">
        <v>0.19577338991174864</v>
      </c>
    </row>
    <row r="1544" spans="2:4" x14ac:dyDescent="0.25">
      <c r="B1544" s="61">
        <v>1511</v>
      </c>
      <c r="C1544" s="61">
        <v>288399.52941000962</v>
      </c>
      <c r="D1544" s="102">
        <v>0.29083973178221223</v>
      </c>
    </row>
    <row r="1545" spans="2:4" x14ac:dyDescent="0.25">
      <c r="B1545" s="61">
        <v>1512</v>
      </c>
      <c r="C1545" s="61">
        <v>241884.01133869239</v>
      </c>
      <c r="D1545" s="102">
        <v>0.23048759489311821</v>
      </c>
    </row>
    <row r="1546" spans="2:4" x14ac:dyDescent="0.25">
      <c r="B1546" s="61">
        <v>1513</v>
      </c>
      <c r="C1546" s="61">
        <v>215472.86024171556</v>
      </c>
      <c r="D1546" s="102">
        <v>0.21961320817265406</v>
      </c>
    </row>
    <row r="1547" spans="2:4" x14ac:dyDescent="0.25">
      <c r="B1547" s="61">
        <v>1514</v>
      </c>
      <c r="C1547" s="61">
        <v>353447.59036064835</v>
      </c>
      <c r="D1547" s="102">
        <v>0.31015935356359847</v>
      </c>
    </row>
    <row r="1548" spans="2:4" x14ac:dyDescent="0.25">
      <c r="B1548" s="61">
        <v>1515</v>
      </c>
      <c r="C1548" s="61">
        <v>240121.30193183897</v>
      </c>
      <c r="D1548" s="102">
        <v>0.27938590577146383</v>
      </c>
    </row>
    <row r="1549" spans="2:4" x14ac:dyDescent="0.25">
      <c r="B1549" s="61">
        <v>1516</v>
      </c>
      <c r="C1549" s="61">
        <v>80311.025569699937</v>
      </c>
      <c r="D1549" s="102">
        <v>0.13904030735046624</v>
      </c>
    </row>
    <row r="1550" spans="2:4" x14ac:dyDescent="0.25">
      <c r="B1550" s="61">
        <v>1517</v>
      </c>
      <c r="C1550" s="61">
        <v>367201.5641555303</v>
      </c>
      <c r="D1550" s="102">
        <v>0.35809024670592837</v>
      </c>
    </row>
    <row r="1551" spans="2:4" x14ac:dyDescent="0.25">
      <c r="B1551" s="61">
        <v>1518</v>
      </c>
      <c r="C1551" s="61">
        <v>415433.28569968406</v>
      </c>
      <c r="D1551" s="102">
        <v>0.38027207581606004</v>
      </c>
    </row>
    <row r="1552" spans="2:4" x14ac:dyDescent="0.25">
      <c r="B1552" s="61">
        <v>1519</v>
      </c>
      <c r="C1552" s="61">
        <v>240741.14627375349</v>
      </c>
      <c r="D1552" s="102">
        <v>0.25717614223132279</v>
      </c>
    </row>
    <row r="1553" spans="2:4" x14ac:dyDescent="0.25">
      <c r="B1553" s="61">
        <v>1520</v>
      </c>
      <c r="C1553" s="61">
        <v>169557.01289273915</v>
      </c>
      <c r="D1553" s="102">
        <v>0.18691603886448438</v>
      </c>
    </row>
    <row r="1554" spans="2:4" x14ac:dyDescent="0.25">
      <c r="B1554" s="61">
        <v>1521</v>
      </c>
      <c r="C1554" s="61">
        <v>339602.48190119665</v>
      </c>
      <c r="D1554" s="102">
        <v>0.35013050808557811</v>
      </c>
    </row>
    <row r="1555" spans="2:4" x14ac:dyDescent="0.25">
      <c r="B1555" s="61">
        <v>1522</v>
      </c>
      <c r="C1555" s="61">
        <v>310609.68440271751</v>
      </c>
      <c r="D1555" s="102">
        <v>0.31541875294266264</v>
      </c>
    </row>
    <row r="1556" spans="2:4" x14ac:dyDescent="0.25">
      <c r="B1556" s="61">
        <v>1523</v>
      </c>
      <c r="C1556" s="61">
        <v>307547.63439698517</v>
      </c>
      <c r="D1556" s="102">
        <v>0.30553793433925058</v>
      </c>
    </row>
    <row r="1557" spans="2:4" x14ac:dyDescent="0.25">
      <c r="B1557" s="61">
        <v>1524</v>
      </c>
      <c r="C1557" s="61">
        <v>154149.77614482894</v>
      </c>
      <c r="D1557" s="102">
        <v>0.18182097352785553</v>
      </c>
    </row>
    <row r="1558" spans="2:4" x14ac:dyDescent="0.25">
      <c r="B1558" s="61">
        <v>1525</v>
      </c>
      <c r="C1558" s="61">
        <v>424523.33853590442</v>
      </c>
      <c r="D1558" s="102">
        <v>0.33965929794885286</v>
      </c>
    </row>
    <row r="1559" spans="2:4" x14ac:dyDescent="0.25">
      <c r="B1559" s="61">
        <v>1526</v>
      </c>
      <c r="C1559" s="61">
        <v>176786.19778413035</v>
      </c>
      <c r="D1559" s="102">
        <v>0.21023182292089615</v>
      </c>
    </row>
    <row r="1560" spans="2:4" x14ac:dyDescent="0.25">
      <c r="B1560" s="61">
        <v>1527</v>
      </c>
      <c r="C1560" s="61">
        <v>332042.25612045417</v>
      </c>
      <c r="D1560" s="102">
        <v>0.32955309735606209</v>
      </c>
    </row>
    <row r="1561" spans="2:4" x14ac:dyDescent="0.25">
      <c r="B1561" s="61">
        <v>1528</v>
      </c>
      <c r="C1561" s="61">
        <v>325282.03729383589</v>
      </c>
      <c r="D1561" s="102">
        <v>0.28117068125096689</v>
      </c>
    </row>
    <row r="1562" spans="2:4" x14ac:dyDescent="0.25">
      <c r="B1562" s="61">
        <v>1529</v>
      </c>
      <c r="C1562" s="61">
        <v>48073.786076663237</v>
      </c>
      <c r="D1562" s="102">
        <v>0.1040415857620054</v>
      </c>
    </row>
    <row r="1563" spans="2:4" x14ac:dyDescent="0.25">
      <c r="B1563" s="61">
        <v>1530</v>
      </c>
      <c r="C1563" s="61">
        <v>189005.67646385264</v>
      </c>
      <c r="D1563" s="102">
        <v>0.19340257586494913</v>
      </c>
    </row>
    <row r="1564" spans="2:4" x14ac:dyDescent="0.25">
      <c r="B1564" s="61">
        <v>1531</v>
      </c>
      <c r="C1564" s="61">
        <v>314402.7747665291</v>
      </c>
      <c r="D1564" s="102">
        <v>0.30112097188405995</v>
      </c>
    </row>
    <row r="1565" spans="2:4" x14ac:dyDescent="0.25">
      <c r="B1565" s="61">
        <v>1532</v>
      </c>
      <c r="C1565" s="61">
        <v>102677.42034010339</v>
      </c>
      <c r="D1565" s="102">
        <v>0.13848258767192423</v>
      </c>
    </row>
    <row r="1566" spans="2:4" x14ac:dyDescent="0.25">
      <c r="B1566" s="61">
        <v>1533</v>
      </c>
      <c r="C1566" s="61">
        <v>336089.04315896321</v>
      </c>
      <c r="D1566" s="102">
        <v>0.33661681521686426</v>
      </c>
    </row>
    <row r="1567" spans="2:4" x14ac:dyDescent="0.25">
      <c r="B1567" s="61">
        <v>1534</v>
      </c>
      <c r="C1567" s="61">
        <v>361251.97021538741</v>
      </c>
      <c r="D1567" s="102">
        <v>0.31316754610473829</v>
      </c>
    </row>
    <row r="1568" spans="2:4" x14ac:dyDescent="0.25">
      <c r="B1568" s="61">
        <v>1535</v>
      </c>
      <c r="C1568" s="61">
        <v>390151.16579484846</v>
      </c>
      <c r="D1568" s="102">
        <v>0.38648493790968153</v>
      </c>
    </row>
    <row r="1569" spans="2:4" x14ac:dyDescent="0.25">
      <c r="B1569" s="61">
        <v>1536</v>
      </c>
      <c r="C1569" s="61">
        <v>278428.92002648616</v>
      </c>
      <c r="D1569" s="102">
        <v>0.23818000644667769</v>
      </c>
    </row>
    <row r="1570" spans="2:4" x14ac:dyDescent="0.25">
      <c r="B1570" s="61">
        <v>1537</v>
      </c>
      <c r="C1570" s="61">
        <v>412255.43074827536</v>
      </c>
      <c r="D1570" s="102">
        <v>0.38763613728441992</v>
      </c>
    </row>
    <row r="1571" spans="2:4" x14ac:dyDescent="0.25">
      <c r="B1571" s="61">
        <v>1538</v>
      </c>
      <c r="C1571" s="61">
        <v>117277.49547865533</v>
      </c>
      <c r="D1571" s="102">
        <v>0.16948635847668747</v>
      </c>
    </row>
    <row r="1572" spans="2:4" x14ac:dyDescent="0.25">
      <c r="B1572" s="61">
        <v>1539</v>
      </c>
      <c r="C1572" s="61">
        <v>271873.34572788037</v>
      </c>
      <c r="D1572" s="102">
        <v>0.27079202009124148</v>
      </c>
    </row>
    <row r="1573" spans="2:4" x14ac:dyDescent="0.25">
      <c r="B1573" s="61">
        <v>1540</v>
      </c>
      <c r="C1573" s="61">
        <v>249573.05393661349</v>
      </c>
      <c r="D1573" s="102">
        <v>0.28556347104060986</v>
      </c>
    </row>
    <row r="1574" spans="2:4" x14ac:dyDescent="0.25">
      <c r="B1574" s="61">
        <v>1541</v>
      </c>
      <c r="C1574" s="61">
        <v>307960.49029557989</v>
      </c>
      <c r="D1574" s="102">
        <v>0.32898459869111041</v>
      </c>
    </row>
    <row r="1575" spans="2:4" x14ac:dyDescent="0.25">
      <c r="B1575" s="61">
        <v>1542</v>
      </c>
      <c r="C1575" s="61">
        <v>115067.50016661646</v>
      </c>
      <c r="D1575" s="102">
        <v>0.14998869256672265</v>
      </c>
    </row>
    <row r="1576" spans="2:4" x14ac:dyDescent="0.25">
      <c r="B1576" s="61">
        <v>1543</v>
      </c>
      <c r="C1576" s="61">
        <v>161404.42084744317</v>
      </c>
      <c r="D1576" s="102">
        <v>0.19039515266338114</v>
      </c>
    </row>
    <row r="1577" spans="2:4" x14ac:dyDescent="0.25">
      <c r="B1577" s="61">
        <v>1544</v>
      </c>
      <c r="C1577" s="61">
        <v>123780.25156377035</v>
      </c>
      <c r="D1577" s="102">
        <v>0.15551665333762954</v>
      </c>
    </row>
    <row r="1578" spans="2:4" x14ac:dyDescent="0.25">
      <c r="B1578" s="61">
        <v>1545</v>
      </c>
      <c r="C1578" s="61">
        <v>329642.91660364682</v>
      </c>
      <c r="D1578" s="102">
        <v>0.30049256551668169</v>
      </c>
    </row>
    <row r="1579" spans="2:4" x14ac:dyDescent="0.25">
      <c r="B1579" s="61">
        <v>1546</v>
      </c>
      <c r="C1579" s="61">
        <v>344040.97510686435</v>
      </c>
      <c r="D1579" s="102">
        <v>0.33043616889342542</v>
      </c>
    </row>
    <row r="1580" spans="2:4" x14ac:dyDescent="0.25">
      <c r="B1580" s="61">
        <v>1547</v>
      </c>
      <c r="C1580" s="61">
        <v>529911.88823221391</v>
      </c>
      <c r="D1580" s="102">
        <v>0.4565770087994625</v>
      </c>
    </row>
    <row r="1581" spans="2:4" x14ac:dyDescent="0.25">
      <c r="B1581" s="61">
        <v>1548</v>
      </c>
      <c r="C1581" s="61">
        <v>257976.66823313537</v>
      </c>
      <c r="D1581" s="102">
        <v>0.27724109877378345</v>
      </c>
    </row>
    <row r="1582" spans="2:4" x14ac:dyDescent="0.25">
      <c r="B1582" s="61">
        <v>1549</v>
      </c>
      <c r="C1582" s="61">
        <v>20285.325278000149</v>
      </c>
      <c r="D1582" s="102">
        <v>8.263368931938464E-2</v>
      </c>
    </row>
    <row r="1583" spans="2:4" x14ac:dyDescent="0.25">
      <c r="B1583" s="61">
        <v>1550</v>
      </c>
      <c r="C1583" s="61">
        <v>445806.37552113051</v>
      </c>
      <c r="D1583" s="102">
        <v>0.43062250988291639</v>
      </c>
    </row>
    <row r="1584" spans="2:4" x14ac:dyDescent="0.25">
      <c r="B1584" s="61">
        <v>1551</v>
      </c>
      <c r="C1584" s="61">
        <v>205862.37968733837</v>
      </c>
      <c r="D1584" s="102">
        <v>0.20365868618226513</v>
      </c>
    </row>
    <row r="1585" spans="2:4" x14ac:dyDescent="0.25">
      <c r="B1585" s="61">
        <v>1552</v>
      </c>
      <c r="C1585" s="61">
        <v>146883.26630852302</v>
      </c>
      <c r="D1585" s="102">
        <v>0.17322866335722842</v>
      </c>
    </row>
    <row r="1586" spans="2:4" x14ac:dyDescent="0.25">
      <c r="B1586" s="61">
        <v>1553</v>
      </c>
      <c r="C1586" s="61">
        <v>281873.32720272511</v>
      </c>
      <c r="D1586" s="102">
        <v>0.28116128846633481</v>
      </c>
    </row>
    <row r="1587" spans="2:4" x14ac:dyDescent="0.25">
      <c r="B1587" s="61">
        <v>1554</v>
      </c>
      <c r="C1587" s="61">
        <v>383302.9113795833</v>
      </c>
      <c r="D1587" s="102">
        <v>0.35957997988029944</v>
      </c>
    </row>
    <row r="1588" spans="2:4" x14ac:dyDescent="0.25">
      <c r="B1588" s="61">
        <v>1555</v>
      </c>
      <c r="C1588" s="61">
        <v>516601.29637648305</v>
      </c>
      <c r="D1588" s="102">
        <v>0.46315727724296707</v>
      </c>
    </row>
    <row r="1589" spans="2:4" x14ac:dyDescent="0.25">
      <c r="B1589" s="61">
        <v>1556</v>
      </c>
      <c r="C1589" s="61">
        <v>102012.04953351023</v>
      </c>
      <c r="D1589" s="102">
        <v>0.16455787593568316</v>
      </c>
    </row>
    <row r="1590" spans="2:4" x14ac:dyDescent="0.25">
      <c r="B1590" s="61">
        <v>1557</v>
      </c>
      <c r="C1590" s="61">
        <v>472490.86291511939</v>
      </c>
      <c r="D1590" s="102">
        <v>0.45357437385521293</v>
      </c>
    </row>
    <row r="1591" spans="2:4" x14ac:dyDescent="0.25">
      <c r="B1591" s="61">
        <v>1558</v>
      </c>
      <c r="C1591" s="61">
        <v>398255.23412264418</v>
      </c>
      <c r="D1591" s="102">
        <v>0.32664670934022166</v>
      </c>
    </row>
    <row r="1592" spans="2:4" x14ac:dyDescent="0.25">
      <c r="B1592" s="61">
        <v>1559</v>
      </c>
      <c r="C1592" s="61">
        <v>399488.74823214009</v>
      </c>
      <c r="D1592" s="102">
        <v>0.31896156373551032</v>
      </c>
    </row>
    <row r="1593" spans="2:4" x14ac:dyDescent="0.25">
      <c r="B1593" s="61">
        <v>1560</v>
      </c>
      <c r="C1593" s="61">
        <v>149995.1861439363</v>
      </c>
      <c r="D1593" s="102">
        <v>0.19870515667373034</v>
      </c>
    </row>
    <row r="1594" spans="2:4" x14ac:dyDescent="0.25">
      <c r="B1594" s="61">
        <v>1561</v>
      </c>
      <c r="C1594" s="61">
        <v>499792.08377489483</v>
      </c>
      <c r="D1594" s="102">
        <v>0.46052651778715314</v>
      </c>
    </row>
    <row r="1595" spans="2:4" x14ac:dyDescent="0.25">
      <c r="B1595" s="61">
        <v>1562</v>
      </c>
      <c r="C1595" s="61">
        <v>164337.16640844627</v>
      </c>
      <c r="D1595" s="102">
        <v>0.19910087425288125</v>
      </c>
    </row>
    <row r="1596" spans="2:4" x14ac:dyDescent="0.25">
      <c r="B1596" s="61">
        <v>1563</v>
      </c>
      <c r="C1596" s="61">
        <v>270769.46737757279</v>
      </c>
      <c r="D1596" s="102">
        <v>0.28785218876565088</v>
      </c>
    </row>
    <row r="1597" spans="2:4" x14ac:dyDescent="0.25">
      <c r="B1597" s="61">
        <v>1564</v>
      </c>
      <c r="C1597" s="61">
        <v>398686.86778673297</v>
      </c>
      <c r="D1597" s="102">
        <v>0.34672943642262011</v>
      </c>
    </row>
    <row r="1598" spans="2:4" x14ac:dyDescent="0.25">
      <c r="B1598" s="61">
        <v>1565</v>
      </c>
      <c r="C1598" s="61">
        <v>284776.03239136504</v>
      </c>
      <c r="D1598" s="102">
        <v>0.35908613850650073</v>
      </c>
    </row>
    <row r="1599" spans="2:4" x14ac:dyDescent="0.25">
      <c r="B1599" s="61">
        <v>1566</v>
      </c>
      <c r="C1599" s="61">
        <v>-14257.246417661547</v>
      </c>
      <c r="D1599" s="102">
        <v>5.1818583784306593E-2</v>
      </c>
    </row>
    <row r="1600" spans="2:4" x14ac:dyDescent="0.25">
      <c r="B1600" s="61">
        <v>1567</v>
      </c>
      <c r="C1600" s="61">
        <v>209469.0315241795</v>
      </c>
      <c r="D1600" s="102">
        <v>0.23643299245911797</v>
      </c>
    </row>
    <row r="1601" spans="2:4" x14ac:dyDescent="0.25">
      <c r="B1601" s="61">
        <v>1568</v>
      </c>
      <c r="C1601" s="61">
        <v>174598.65780078829</v>
      </c>
      <c r="D1601" s="102">
        <v>0.20158265065669267</v>
      </c>
    </row>
    <row r="1602" spans="2:4" x14ac:dyDescent="0.25">
      <c r="B1602" s="61">
        <v>1569</v>
      </c>
      <c r="C1602" s="61">
        <v>220551.65631476766</v>
      </c>
      <c r="D1602" s="102">
        <v>0.24963591439318233</v>
      </c>
    </row>
    <row r="1603" spans="2:4" x14ac:dyDescent="0.25">
      <c r="B1603" s="61">
        <v>1570</v>
      </c>
      <c r="C1603" s="61">
        <v>309264.33724292379</v>
      </c>
      <c r="D1603" s="102">
        <v>0.27910841710106604</v>
      </c>
    </row>
    <row r="1604" spans="2:4" x14ac:dyDescent="0.25">
      <c r="B1604" s="61">
        <v>1571</v>
      </c>
      <c r="C1604" s="61">
        <v>141346.91978069203</v>
      </c>
      <c r="D1604" s="102">
        <v>0.19177618116321482</v>
      </c>
    </row>
    <row r="1605" spans="2:4" x14ac:dyDescent="0.25">
      <c r="B1605" s="61">
        <v>1572</v>
      </c>
      <c r="C1605" s="61">
        <v>126767.80078815314</v>
      </c>
      <c r="D1605" s="102">
        <v>0.18613706155690757</v>
      </c>
    </row>
    <row r="1606" spans="2:4" x14ac:dyDescent="0.25">
      <c r="B1606" s="61">
        <v>1573</v>
      </c>
      <c r="C1606" s="61">
        <v>319444.38382121804</v>
      </c>
      <c r="D1606" s="102">
        <v>0.31933124360798226</v>
      </c>
    </row>
    <row r="1607" spans="2:4" x14ac:dyDescent="0.25">
      <c r="B1607" s="61">
        <v>1574</v>
      </c>
      <c r="C1607" s="61">
        <v>157582.91387556912</v>
      </c>
      <c r="D1607" s="102">
        <v>0.17332874797859232</v>
      </c>
    </row>
    <row r="1608" spans="2:4" x14ac:dyDescent="0.25">
      <c r="B1608" s="61">
        <v>1575</v>
      </c>
      <c r="C1608" s="61">
        <v>341243.08659488335</v>
      </c>
      <c r="D1608" s="102">
        <v>0.32410774605873938</v>
      </c>
    </row>
    <row r="1609" spans="2:4" x14ac:dyDescent="0.25">
      <c r="B1609" s="61">
        <v>1576</v>
      </c>
      <c r="C1609" s="61">
        <v>439222.93999518384</v>
      </c>
      <c r="D1609" s="102">
        <v>0.38654764620474436</v>
      </c>
    </row>
    <row r="1610" spans="2:4" x14ac:dyDescent="0.25">
      <c r="B1610" s="61">
        <v>1577</v>
      </c>
      <c r="C1610" s="61">
        <v>314614.200726729</v>
      </c>
      <c r="D1610" s="102">
        <v>0.26352839556764995</v>
      </c>
    </row>
    <row r="1611" spans="2:4" x14ac:dyDescent="0.25">
      <c r="B1611" s="61">
        <v>1578</v>
      </c>
      <c r="C1611" s="61">
        <v>324613.2445811478</v>
      </c>
      <c r="D1611" s="102">
        <v>0.30206057363135685</v>
      </c>
    </row>
    <row r="1612" spans="2:4" x14ac:dyDescent="0.25">
      <c r="B1612" s="61">
        <v>1579</v>
      </c>
      <c r="C1612" s="61">
        <v>270117.56469210202</v>
      </c>
      <c r="D1612" s="102">
        <v>0.28515599110739354</v>
      </c>
    </row>
    <row r="1613" spans="2:4" x14ac:dyDescent="0.25">
      <c r="B1613" s="61">
        <v>1580</v>
      </c>
      <c r="C1613" s="61">
        <v>526839.82469120657</v>
      </c>
      <c r="D1613" s="102">
        <v>0.39496505699824769</v>
      </c>
    </row>
    <row r="1614" spans="2:4" x14ac:dyDescent="0.25">
      <c r="B1614" s="61">
        <v>1581</v>
      </c>
      <c r="C1614" s="61">
        <v>322990.66397148417</v>
      </c>
      <c r="D1614" s="102">
        <v>0.34132998337922249</v>
      </c>
    </row>
    <row r="1615" spans="2:4" x14ac:dyDescent="0.25">
      <c r="B1615" s="61">
        <v>1582</v>
      </c>
      <c r="C1615" s="61">
        <v>321696.71505556768</v>
      </c>
      <c r="D1615" s="102">
        <v>0.29528978092362812</v>
      </c>
    </row>
    <row r="1616" spans="2:4" x14ac:dyDescent="0.25">
      <c r="B1616" s="61">
        <v>1583</v>
      </c>
      <c r="C1616" s="61">
        <v>46394.997903879848</v>
      </c>
      <c r="D1616" s="102">
        <v>0.11723387682107189</v>
      </c>
    </row>
    <row r="1617" spans="2:4" x14ac:dyDescent="0.25">
      <c r="B1617" s="61">
        <v>1584</v>
      </c>
      <c r="C1617" s="61">
        <v>333730.25943966291</v>
      </c>
      <c r="D1617" s="102">
        <v>0.32086360076942655</v>
      </c>
    </row>
    <row r="1618" spans="2:4" x14ac:dyDescent="0.25">
      <c r="B1618" s="61">
        <v>1585</v>
      </c>
      <c r="C1618" s="61">
        <v>328668.1376643104</v>
      </c>
      <c r="D1618" s="102">
        <v>0.29587570108352312</v>
      </c>
    </row>
    <row r="1619" spans="2:4" x14ac:dyDescent="0.25">
      <c r="B1619" s="61">
        <v>1586</v>
      </c>
      <c r="C1619" s="61">
        <v>234064.45671501278</v>
      </c>
      <c r="D1619" s="102">
        <v>0.22990675775669978</v>
      </c>
    </row>
    <row r="1620" spans="2:4" x14ac:dyDescent="0.25">
      <c r="B1620" s="61">
        <v>1587</v>
      </c>
      <c r="C1620" s="61">
        <v>255136.17573876504</v>
      </c>
      <c r="D1620" s="102">
        <v>0.28069572296402523</v>
      </c>
    </row>
    <row r="1621" spans="2:4" x14ac:dyDescent="0.25">
      <c r="B1621" s="61">
        <v>1588</v>
      </c>
      <c r="C1621" s="61">
        <v>334180.74788322509</v>
      </c>
      <c r="D1621" s="102">
        <v>0.37001826597378273</v>
      </c>
    </row>
    <row r="1622" spans="2:4" x14ac:dyDescent="0.25">
      <c r="B1622" s="61">
        <v>1589</v>
      </c>
      <c r="C1622" s="61">
        <v>328757.3423818876</v>
      </c>
      <c r="D1622" s="102">
        <v>0.31740747087797261</v>
      </c>
    </row>
    <row r="1623" spans="2:4" x14ac:dyDescent="0.25">
      <c r="B1623" s="61">
        <v>1590</v>
      </c>
      <c r="C1623" s="61">
        <v>271069.89076829248</v>
      </c>
      <c r="D1623" s="102">
        <v>0.27101063677408077</v>
      </c>
    </row>
    <row r="1624" spans="2:4" x14ac:dyDescent="0.25">
      <c r="B1624" s="61">
        <v>1591</v>
      </c>
      <c r="C1624" s="61">
        <v>306034.00584734906</v>
      </c>
      <c r="D1624" s="102">
        <v>0.32920921311481743</v>
      </c>
    </row>
    <row r="1625" spans="2:4" x14ac:dyDescent="0.25">
      <c r="B1625" s="61">
        <v>1592</v>
      </c>
      <c r="C1625" s="61">
        <v>312719.13696126617</v>
      </c>
      <c r="D1625" s="102">
        <v>0.31623212807080447</v>
      </c>
    </row>
    <row r="1626" spans="2:4" x14ac:dyDescent="0.25">
      <c r="B1626" s="61">
        <v>1593</v>
      </c>
      <c r="C1626" s="61">
        <v>151099.04526238679</v>
      </c>
      <c r="D1626" s="102">
        <v>0.21694836188841182</v>
      </c>
    </row>
    <row r="1627" spans="2:4" x14ac:dyDescent="0.25">
      <c r="B1627" s="61">
        <v>1594</v>
      </c>
      <c r="C1627" s="61">
        <v>98980.041955291934</v>
      </c>
      <c r="D1627" s="102">
        <v>0.15877152866554112</v>
      </c>
    </row>
    <row r="1628" spans="2:4" x14ac:dyDescent="0.25">
      <c r="B1628" s="61">
        <v>1595</v>
      </c>
      <c r="C1628" s="61">
        <v>347948.74465209234</v>
      </c>
      <c r="D1628" s="102">
        <v>0.36266749199479387</v>
      </c>
    </row>
    <row r="1629" spans="2:4" x14ac:dyDescent="0.25">
      <c r="B1629" s="61">
        <v>1596</v>
      </c>
      <c r="C1629" s="61">
        <v>406420.27928929171</v>
      </c>
      <c r="D1629" s="102">
        <v>0.38694784731892029</v>
      </c>
    </row>
    <row r="1630" spans="2:4" x14ac:dyDescent="0.25">
      <c r="B1630" s="61">
        <v>1597</v>
      </c>
      <c r="C1630" s="61">
        <v>244809.46085178351</v>
      </c>
      <c r="D1630" s="102">
        <v>0.25870017575055959</v>
      </c>
    </row>
    <row r="1631" spans="2:4" x14ac:dyDescent="0.25">
      <c r="B1631" s="61">
        <v>1598</v>
      </c>
      <c r="C1631" s="61">
        <v>251828.25139079674</v>
      </c>
      <c r="D1631" s="102">
        <v>0.25591295197025832</v>
      </c>
    </row>
    <row r="1632" spans="2:4" x14ac:dyDescent="0.25">
      <c r="B1632" s="61">
        <v>1599</v>
      </c>
      <c r="C1632" s="61">
        <v>131984.1785008625</v>
      </c>
      <c r="D1632" s="102">
        <v>0.17197452745083064</v>
      </c>
    </row>
    <row r="1633" spans="2:4" x14ac:dyDescent="0.25">
      <c r="B1633" s="61">
        <v>1600</v>
      </c>
      <c r="C1633" s="61">
        <v>583647.61542517052</v>
      </c>
      <c r="D1633" s="102">
        <v>0.61305532830191978</v>
      </c>
    </row>
    <row r="1634" spans="2:4" x14ac:dyDescent="0.25">
      <c r="B1634" s="61">
        <v>1601</v>
      </c>
      <c r="C1634" s="61">
        <v>323241.8027282526</v>
      </c>
      <c r="D1634" s="102">
        <v>0.3580226571915639</v>
      </c>
    </row>
    <row r="1635" spans="2:4" x14ac:dyDescent="0.25">
      <c r="B1635" s="61">
        <v>1602</v>
      </c>
      <c r="C1635" s="61">
        <v>379748.58711580699</v>
      </c>
      <c r="D1635" s="102">
        <v>0.34249650602243564</v>
      </c>
    </row>
    <row r="1636" spans="2:4" x14ac:dyDescent="0.25">
      <c r="B1636" s="61">
        <v>1603</v>
      </c>
      <c r="C1636" s="61">
        <v>385381.99175105151</v>
      </c>
      <c r="D1636" s="102">
        <v>0.36943979405709948</v>
      </c>
    </row>
    <row r="1637" spans="2:4" x14ac:dyDescent="0.25">
      <c r="B1637" s="61">
        <v>1604</v>
      </c>
      <c r="C1637" s="61">
        <v>424634.18406314519</v>
      </c>
      <c r="D1637" s="102">
        <v>0.37968227704856705</v>
      </c>
    </row>
    <row r="1638" spans="2:4" x14ac:dyDescent="0.25">
      <c r="B1638" s="61">
        <v>1605</v>
      </c>
      <c r="C1638" s="61">
        <v>375360.07683427574</v>
      </c>
      <c r="D1638" s="102">
        <v>0.36901172701235563</v>
      </c>
    </row>
    <row r="1639" spans="2:4" x14ac:dyDescent="0.25">
      <c r="B1639" s="61">
        <v>1606</v>
      </c>
      <c r="C1639" s="61">
        <v>251803.94882404199</v>
      </c>
      <c r="D1639" s="102">
        <v>0.26633467322967519</v>
      </c>
    </row>
    <row r="1640" spans="2:4" x14ac:dyDescent="0.25">
      <c r="B1640" s="61">
        <v>1607</v>
      </c>
      <c r="C1640" s="61">
        <v>281809.18539003842</v>
      </c>
      <c r="D1640" s="102">
        <v>0.33326259004162462</v>
      </c>
    </row>
    <row r="1641" spans="2:4" x14ac:dyDescent="0.25">
      <c r="B1641" s="61">
        <v>1608</v>
      </c>
      <c r="C1641" s="61">
        <v>218717.0608066381</v>
      </c>
      <c r="D1641" s="102">
        <v>0.2327565177985027</v>
      </c>
    </row>
    <row r="1642" spans="2:4" x14ac:dyDescent="0.25">
      <c r="B1642" s="61">
        <v>1609</v>
      </c>
      <c r="C1642" s="61">
        <v>397655.50765220448</v>
      </c>
      <c r="D1642" s="102">
        <v>0.37219435087367958</v>
      </c>
    </row>
    <row r="1643" spans="2:4" x14ac:dyDescent="0.25">
      <c r="B1643" s="61">
        <v>1610</v>
      </c>
      <c r="C1643" s="61">
        <v>88008.991372198681</v>
      </c>
      <c r="D1643" s="102">
        <v>0.12926177058035826</v>
      </c>
    </row>
    <row r="1644" spans="2:4" x14ac:dyDescent="0.25">
      <c r="B1644" s="61">
        <v>1611</v>
      </c>
      <c r="C1644" s="61">
        <v>382465.30569698324</v>
      </c>
      <c r="D1644" s="102">
        <v>0.41065760470051771</v>
      </c>
    </row>
    <row r="1645" spans="2:4" x14ac:dyDescent="0.25">
      <c r="B1645" s="61">
        <v>1612</v>
      </c>
      <c r="C1645" s="61">
        <v>150167.93320161174</v>
      </c>
      <c r="D1645" s="102">
        <v>0.20450705541397696</v>
      </c>
    </row>
    <row r="1646" spans="2:4" x14ac:dyDescent="0.25">
      <c r="B1646" s="61">
        <v>1613</v>
      </c>
      <c r="C1646" s="61">
        <v>201994.22175331821</v>
      </c>
      <c r="D1646" s="102">
        <v>0.23975246421741803</v>
      </c>
    </row>
    <row r="1647" spans="2:4" x14ac:dyDescent="0.25">
      <c r="B1647" s="61">
        <v>1614</v>
      </c>
      <c r="C1647" s="61">
        <v>447814.92245923134</v>
      </c>
      <c r="D1647" s="102">
        <v>0.40468434694958133</v>
      </c>
    </row>
    <row r="1648" spans="2:4" x14ac:dyDescent="0.25">
      <c r="B1648" s="61">
        <v>1615</v>
      </c>
      <c r="C1648" s="61">
        <v>137260.23811725841</v>
      </c>
      <c r="D1648" s="102">
        <v>0.17523762480887739</v>
      </c>
    </row>
    <row r="1649" spans="2:4" x14ac:dyDescent="0.25">
      <c r="B1649" s="61">
        <v>1616</v>
      </c>
      <c r="C1649" s="61">
        <v>212831.85628672363</v>
      </c>
      <c r="D1649" s="102">
        <v>0.19825037111596533</v>
      </c>
    </row>
    <row r="1650" spans="2:4" x14ac:dyDescent="0.25">
      <c r="B1650" s="61">
        <v>1617</v>
      </c>
      <c r="C1650" s="61">
        <v>277499.94442988699</v>
      </c>
      <c r="D1650" s="102">
        <v>0.28316905694630234</v>
      </c>
    </row>
    <row r="1651" spans="2:4" x14ac:dyDescent="0.25">
      <c r="B1651" s="61">
        <v>1618</v>
      </c>
      <c r="C1651" s="61">
        <v>121422.28681561013</v>
      </c>
      <c r="D1651" s="102">
        <v>0.13747146173306457</v>
      </c>
    </row>
    <row r="1652" spans="2:4" x14ac:dyDescent="0.25">
      <c r="B1652" s="61">
        <v>1619</v>
      </c>
      <c r="C1652" s="61">
        <v>218419.53286027664</v>
      </c>
      <c r="D1652" s="102">
        <v>0.21568566482254736</v>
      </c>
    </row>
    <row r="1653" spans="2:4" x14ac:dyDescent="0.25">
      <c r="B1653" s="61">
        <v>1620</v>
      </c>
      <c r="C1653" s="61">
        <v>49223.016992867575</v>
      </c>
      <c r="D1653" s="102">
        <v>0.102100906008048</v>
      </c>
    </row>
    <row r="1654" spans="2:4" x14ac:dyDescent="0.25">
      <c r="B1654" s="61">
        <v>1621</v>
      </c>
      <c r="C1654" s="61">
        <v>558239.65357812715</v>
      </c>
      <c r="D1654" s="102">
        <v>0.49055972520413915</v>
      </c>
    </row>
    <row r="1655" spans="2:4" x14ac:dyDescent="0.25">
      <c r="B1655" s="61">
        <v>1622</v>
      </c>
      <c r="C1655" s="61">
        <v>44869.642764354125</v>
      </c>
      <c r="D1655" s="102">
        <v>0.10457864682276519</v>
      </c>
    </row>
    <row r="1656" spans="2:4" x14ac:dyDescent="0.25">
      <c r="B1656" s="61">
        <v>1623</v>
      </c>
      <c r="C1656" s="61">
        <v>12326.462854072393</v>
      </c>
      <c r="D1656" s="102">
        <v>7.3789913576820743E-2</v>
      </c>
    </row>
    <row r="1657" spans="2:4" x14ac:dyDescent="0.25">
      <c r="B1657" s="61">
        <v>1624</v>
      </c>
      <c r="C1657" s="61">
        <v>382019.04087087046</v>
      </c>
      <c r="D1657" s="102">
        <v>0.33158149624157263</v>
      </c>
    </row>
    <row r="1658" spans="2:4" x14ac:dyDescent="0.25">
      <c r="B1658" s="61">
        <v>1625</v>
      </c>
      <c r="C1658" s="61">
        <v>372915.16943714221</v>
      </c>
      <c r="D1658" s="102">
        <v>0.32375804486511428</v>
      </c>
    </row>
    <row r="1659" spans="2:4" x14ac:dyDescent="0.25">
      <c r="B1659" s="61">
        <v>1626</v>
      </c>
      <c r="C1659" s="61">
        <v>10960.559856118227</v>
      </c>
      <c r="D1659" s="102">
        <v>7.1931116241007231E-2</v>
      </c>
    </row>
    <row r="1660" spans="2:4" x14ac:dyDescent="0.25">
      <c r="B1660" s="61">
        <v>1627</v>
      </c>
      <c r="C1660" s="61">
        <v>302506.42696338601</v>
      </c>
      <c r="D1660" s="102">
        <v>0.31540436383344361</v>
      </c>
    </row>
    <row r="1661" spans="2:4" x14ac:dyDescent="0.25">
      <c r="B1661" s="61">
        <v>1628</v>
      </c>
      <c r="C1661" s="61">
        <v>124707.48785709776</v>
      </c>
      <c r="D1661" s="102">
        <v>0.14951163205508355</v>
      </c>
    </row>
    <row r="1662" spans="2:4" x14ac:dyDescent="0.25">
      <c r="B1662" s="61">
        <v>1629</v>
      </c>
      <c r="C1662" s="61">
        <v>326685.23395652312</v>
      </c>
      <c r="D1662" s="102">
        <v>0.32518762183529382</v>
      </c>
    </row>
    <row r="1663" spans="2:4" x14ac:dyDescent="0.25">
      <c r="B1663" s="61">
        <v>1630</v>
      </c>
      <c r="C1663" s="61">
        <v>72645.152543440869</v>
      </c>
      <c r="D1663" s="102">
        <v>0.11074565218717347</v>
      </c>
    </row>
    <row r="1664" spans="2:4" x14ac:dyDescent="0.25">
      <c r="B1664" s="61">
        <v>1631</v>
      </c>
      <c r="C1664" s="61">
        <v>453140.85890075355</v>
      </c>
      <c r="D1664" s="102">
        <v>0.40720967399739472</v>
      </c>
    </row>
    <row r="1665" spans="2:4" x14ac:dyDescent="0.25">
      <c r="B1665" s="61">
        <v>1632</v>
      </c>
      <c r="C1665" s="61">
        <v>452486.72396227554</v>
      </c>
      <c r="D1665" s="102">
        <v>0.39441413896123056</v>
      </c>
    </row>
    <row r="1666" spans="2:4" x14ac:dyDescent="0.25">
      <c r="B1666" s="61">
        <v>1633</v>
      </c>
      <c r="C1666" s="61">
        <v>568110.90546974214</v>
      </c>
      <c r="D1666" s="102">
        <v>0.45256838043381498</v>
      </c>
    </row>
    <row r="1667" spans="2:4" x14ac:dyDescent="0.25">
      <c r="B1667" s="61">
        <v>1634</v>
      </c>
      <c r="C1667" s="61">
        <v>316780.68579026638</v>
      </c>
      <c r="D1667" s="102">
        <v>0.30881440383737324</v>
      </c>
    </row>
    <row r="1668" spans="2:4" x14ac:dyDescent="0.25">
      <c r="B1668" s="61">
        <v>1635</v>
      </c>
      <c r="C1668" s="61">
        <v>313757.71694973251</v>
      </c>
      <c r="D1668" s="102">
        <v>0.31259898191303459</v>
      </c>
    </row>
    <row r="1669" spans="2:4" x14ac:dyDescent="0.25">
      <c r="B1669" s="61">
        <v>1636</v>
      </c>
      <c r="C1669" s="61">
        <v>307687.53177761589</v>
      </c>
      <c r="D1669" s="102">
        <v>0.31442037160435321</v>
      </c>
    </row>
    <row r="1670" spans="2:4" x14ac:dyDescent="0.25">
      <c r="B1670" s="61">
        <v>1637</v>
      </c>
      <c r="C1670" s="61">
        <v>122594.17917928536</v>
      </c>
      <c r="D1670" s="102">
        <v>0.16839582292866084</v>
      </c>
    </row>
    <row r="1671" spans="2:4" x14ac:dyDescent="0.25">
      <c r="B1671" s="61">
        <v>1638</v>
      </c>
      <c r="C1671" s="61">
        <v>360605.74145889725</v>
      </c>
      <c r="D1671" s="102">
        <v>0.36729247023721556</v>
      </c>
    </row>
    <row r="1672" spans="2:4" x14ac:dyDescent="0.25">
      <c r="B1672" s="61">
        <v>1639</v>
      </c>
      <c r="C1672" s="61">
        <v>411636.22930887144</v>
      </c>
      <c r="D1672" s="102">
        <v>0.32696919253112844</v>
      </c>
    </row>
    <row r="1673" spans="2:4" x14ac:dyDescent="0.25">
      <c r="B1673" s="61">
        <v>1640</v>
      </c>
      <c r="C1673" s="61">
        <v>250105.28759203758</v>
      </c>
      <c r="D1673" s="102">
        <v>0.2613720532737478</v>
      </c>
    </row>
    <row r="1674" spans="2:4" x14ac:dyDescent="0.25">
      <c r="B1674" s="61">
        <v>1641</v>
      </c>
      <c r="C1674" s="61">
        <v>277495.02580932993</v>
      </c>
      <c r="D1674" s="102">
        <v>0.23258088317875303</v>
      </c>
    </row>
    <row r="1675" spans="2:4" x14ac:dyDescent="0.25">
      <c r="B1675" s="61">
        <v>1642</v>
      </c>
      <c r="C1675" s="61">
        <v>306007.04323318519</v>
      </c>
      <c r="D1675" s="102">
        <v>0.26659071101594756</v>
      </c>
    </row>
    <row r="1676" spans="2:4" x14ac:dyDescent="0.25">
      <c r="B1676" s="61">
        <v>1643</v>
      </c>
      <c r="C1676" s="61">
        <v>424759.72374581697</v>
      </c>
      <c r="D1676" s="102">
        <v>0.57987845099601354</v>
      </c>
    </row>
    <row r="1677" spans="2:4" x14ac:dyDescent="0.25">
      <c r="B1677" s="61">
        <v>1644</v>
      </c>
      <c r="C1677" s="61">
        <v>427817.37274843978</v>
      </c>
      <c r="D1677" s="102">
        <v>0.34172265516207601</v>
      </c>
    </row>
    <row r="1678" spans="2:4" x14ac:dyDescent="0.25">
      <c r="B1678" s="61">
        <v>1645</v>
      </c>
      <c r="C1678" s="61">
        <v>230588.7398788759</v>
      </c>
      <c r="D1678" s="102">
        <v>0.27804310509957819</v>
      </c>
    </row>
    <row r="1679" spans="2:4" x14ac:dyDescent="0.25">
      <c r="B1679" s="61">
        <v>1646</v>
      </c>
      <c r="C1679" s="61">
        <v>390372.68478484708</v>
      </c>
      <c r="D1679" s="102">
        <v>0.36131448529593668</v>
      </c>
    </row>
    <row r="1680" spans="2:4" x14ac:dyDescent="0.25">
      <c r="B1680" s="61">
        <v>1647</v>
      </c>
      <c r="C1680" s="61">
        <v>223350.80749234266</v>
      </c>
      <c r="D1680" s="102">
        <v>0.26975892673435875</v>
      </c>
    </row>
    <row r="1681" spans="2:4" x14ac:dyDescent="0.25">
      <c r="B1681" s="61">
        <v>1648</v>
      </c>
      <c r="C1681" s="61">
        <v>340372.42449365265</v>
      </c>
      <c r="D1681" s="102">
        <v>0.31395519227010404</v>
      </c>
    </row>
    <row r="1682" spans="2:4" x14ac:dyDescent="0.25">
      <c r="B1682" s="61">
        <v>1649</v>
      </c>
      <c r="C1682" s="61">
        <v>333961.06801059109</v>
      </c>
      <c r="D1682" s="102">
        <v>0.32007570945229036</v>
      </c>
    </row>
    <row r="1683" spans="2:4" x14ac:dyDescent="0.25">
      <c r="B1683" s="61">
        <v>1650</v>
      </c>
      <c r="C1683" s="61">
        <v>260296.76258436614</v>
      </c>
      <c r="D1683" s="102">
        <v>0.31758685041979939</v>
      </c>
    </row>
    <row r="1684" spans="2:4" x14ac:dyDescent="0.25">
      <c r="B1684" s="61">
        <v>1651</v>
      </c>
      <c r="C1684" s="61">
        <v>286433.43589046528</v>
      </c>
      <c r="D1684" s="102">
        <v>0.28468256585408591</v>
      </c>
    </row>
    <row r="1685" spans="2:4" x14ac:dyDescent="0.25">
      <c r="B1685" s="61">
        <v>1652</v>
      </c>
      <c r="C1685" s="61">
        <v>254922.71985207486</v>
      </c>
      <c r="D1685" s="102">
        <v>0.27952550577181778</v>
      </c>
    </row>
    <row r="1686" spans="2:4" x14ac:dyDescent="0.25">
      <c r="B1686" s="61">
        <v>1653</v>
      </c>
      <c r="C1686" s="61">
        <v>8056.2024358128547</v>
      </c>
      <c r="D1686" s="102">
        <v>7.2703810920645706E-2</v>
      </c>
    </row>
    <row r="1687" spans="2:4" x14ac:dyDescent="0.25">
      <c r="B1687" s="61">
        <v>1654</v>
      </c>
      <c r="C1687" s="61">
        <v>220788.98562933994</v>
      </c>
      <c r="D1687" s="102">
        <v>0.29849846516433498</v>
      </c>
    </row>
    <row r="1688" spans="2:4" x14ac:dyDescent="0.25">
      <c r="B1688" s="61">
        <v>1655</v>
      </c>
      <c r="C1688" s="61">
        <v>268618.22321442259</v>
      </c>
      <c r="D1688" s="102">
        <v>0.28620575903343637</v>
      </c>
    </row>
    <row r="1689" spans="2:4" x14ac:dyDescent="0.25">
      <c r="B1689" s="61">
        <v>1656</v>
      </c>
      <c r="C1689" s="61">
        <v>403871.32534363144</v>
      </c>
      <c r="D1689" s="102">
        <v>0.36304121601380812</v>
      </c>
    </row>
    <row r="1690" spans="2:4" x14ac:dyDescent="0.25">
      <c r="B1690" s="61">
        <v>1657</v>
      </c>
      <c r="C1690" s="61">
        <v>293576.23743058147</v>
      </c>
      <c r="D1690" s="102">
        <v>0.29604574432798247</v>
      </c>
    </row>
    <row r="1691" spans="2:4" x14ac:dyDescent="0.25">
      <c r="B1691" s="61">
        <v>1658</v>
      </c>
      <c r="C1691" s="61">
        <v>299268.70322940999</v>
      </c>
      <c r="D1691" s="102">
        <v>0.32969621680561501</v>
      </c>
    </row>
    <row r="1692" spans="2:4" x14ac:dyDescent="0.25">
      <c r="B1692" s="61">
        <v>1659</v>
      </c>
      <c r="C1692" s="61">
        <v>256505.44303970656</v>
      </c>
      <c r="D1692" s="102">
        <v>0.22910144357258599</v>
      </c>
    </row>
    <row r="1693" spans="2:4" x14ac:dyDescent="0.25">
      <c r="B1693" s="61">
        <v>1660</v>
      </c>
      <c r="C1693" s="61">
        <v>198947.66264875326</v>
      </c>
      <c r="D1693" s="102">
        <v>0.21999403358458203</v>
      </c>
    </row>
    <row r="1694" spans="2:4" x14ac:dyDescent="0.25">
      <c r="B1694" s="61">
        <v>1661</v>
      </c>
      <c r="C1694" s="61">
        <v>275057.73626656597</v>
      </c>
      <c r="D1694" s="102">
        <v>0.30880004333714828</v>
      </c>
    </row>
    <row r="1695" spans="2:4" x14ac:dyDescent="0.25">
      <c r="B1695" s="61">
        <v>1662</v>
      </c>
      <c r="C1695" s="61">
        <v>362254.36201352754</v>
      </c>
      <c r="D1695" s="102">
        <v>0.32202691159776209</v>
      </c>
    </row>
    <row r="1696" spans="2:4" x14ac:dyDescent="0.25">
      <c r="B1696" s="61">
        <v>1663</v>
      </c>
      <c r="C1696" s="61">
        <v>422106.09328019351</v>
      </c>
      <c r="D1696" s="102">
        <v>0.42489265931456965</v>
      </c>
    </row>
    <row r="1697" spans="2:4" x14ac:dyDescent="0.25">
      <c r="B1697" s="61">
        <v>1664</v>
      </c>
      <c r="C1697" s="61">
        <v>314223.78635290184</v>
      </c>
      <c r="D1697" s="102">
        <v>0.26934498651167682</v>
      </c>
    </row>
    <row r="1698" spans="2:4" x14ac:dyDescent="0.25">
      <c r="B1698" s="61">
        <v>1665</v>
      </c>
      <c r="C1698" s="61">
        <v>226530.7700161353</v>
      </c>
      <c r="D1698" s="102">
        <v>0.23087771535888768</v>
      </c>
    </row>
    <row r="1699" spans="2:4" x14ac:dyDescent="0.25">
      <c r="B1699" s="61">
        <v>1666</v>
      </c>
      <c r="C1699" s="61">
        <v>157640.18292477552</v>
      </c>
      <c r="D1699" s="102">
        <v>0.17690903189418328</v>
      </c>
    </row>
    <row r="1700" spans="2:4" x14ac:dyDescent="0.25">
      <c r="B1700" s="61">
        <v>1667</v>
      </c>
      <c r="C1700" s="61">
        <v>430463.27181075211</v>
      </c>
      <c r="D1700" s="102">
        <v>0.44162499580435655</v>
      </c>
    </row>
    <row r="1701" spans="2:4" x14ac:dyDescent="0.25">
      <c r="B1701" s="61">
        <v>1668</v>
      </c>
      <c r="C1701" s="61">
        <v>258995.43231643108</v>
      </c>
      <c r="D1701" s="102">
        <v>0.28252433584340575</v>
      </c>
    </row>
    <row r="1702" spans="2:4" x14ac:dyDescent="0.25">
      <c r="B1702" s="61">
        <v>1669</v>
      </c>
      <c r="C1702" s="61">
        <v>377521.60928649211</v>
      </c>
      <c r="D1702" s="102">
        <v>0.34423975866431133</v>
      </c>
    </row>
    <row r="1703" spans="2:4" x14ac:dyDescent="0.25">
      <c r="B1703" s="61">
        <v>1670</v>
      </c>
      <c r="C1703" s="61">
        <v>136667.32559295319</v>
      </c>
      <c r="D1703" s="102">
        <v>0.18954583505326106</v>
      </c>
    </row>
    <row r="1704" spans="2:4" x14ac:dyDescent="0.25">
      <c r="B1704" s="61">
        <v>1671</v>
      </c>
      <c r="C1704" s="61">
        <v>-7333.7040271776496</v>
      </c>
      <c r="D1704" s="102">
        <v>5.7335770735524427E-2</v>
      </c>
    </row>
    <row r="1705" spans="2:4" x14ac:dyDescent="0.25">
      <c r="B1705" s="61">
        <v>1672</v>
      </c>
      <c r="C1705" s="61">
        <v>364553.46037011652</v>
      </c>
      <c r="D1705" s="102">
        <v>0.32521235279900251</v>
      </c>
    </row>
    <row r="1706" spans="2:4" x14ac:dyDescent="0.25">
      <c r="B1706" s="61">
        <v>1673</v>
      </c>
      <c r="C1706" s="61">
        <v>364584.8568465875</v>
      </c>
      <c r="D1706" s="102">
        <v>0.39294073885413749</v>
      </c>
    </row>
    <row r="1707" spans="2:4" x14ac:dyDescent="0.25">
      <c r="B1707" s="61">
        <v>1674</v>
      </c>
      <c r="C1707" s="61">
        <v>331586.43083282455</v>
      </c>
      <c r="D1707" s="102">
        <v>0.31834030889148979</v>
      </c>
    </row>
    <row r="1708" spans="2:4" x14ac:dyDescent="0.25">
      <c r="B1708" s="61">
        <v>1675</v>
      </c>
      <c r="C1708" s="61">
        <v>128706.97300929233</v>
      </c>
      <c r="D1708" s="102">
        <v>0.1717864526781443</v>
      </c>
    </row>
    <row r="1709" spans="2:4" x14ac:dyDescent="0.25">
      <c r="B1709" s="61">
        <v>1676</v>
      </c>
      <c r="C1709" s="61">
        <v>393471.95419151778</v>
      </c>
      <c r="D1709" s="102">
        <v>0.35420996705446717</v>
      </c>
    </row>
    <row r="1710" spans="2:4" x14ac:dyDescent="0.25">
      <c r="B1710" s="61">
        <v>1677</v>
      </c>
      <c r="C1710" s="61">
        <v>198615.5654800554</v>
      </c>
      <c r="D1710" s="102">
        <v>0.20162027540268412</v>
      </c>
    </row>
    <row r="1711" spans="2:4" x14ac:dyDescent="0.25">
      <c r="B1711" s="61">
        <v>1678</v>
      </c>
      <c r="C1711" s="61">
        <v>358304.84958834969</v>
      </c>
      <c r="D1711" s="102">
        <v>0.30865484628423667</v>
      </c>
    </row>
    <row r="1712" spans="2:4" x14ac:dyDescent="0.25">
      <c r="B1712" s="61">
        <v>1679</v>
      </c>
      <c r="C1712" s="61">
        <v>140880.06975811336</v>
      </c>
      <c r="D1712" s="102">
        <v>0.16958104212040848</v>
      </c>
    </row>
    <row r="1713" spans="2:4" x14ac:dyDescent="0.25">
      <c r="B1713" s="61">
        <v>1680</v>
      </c>
      <c r="C1713" s="61">
        <v>268930.43480813049</v>
      </c>
      <c r="D1713" s="102">
        <v>0.26542572845886858</v>
      </c>
    </row>
    <row r="1714" spans="2:4" x14ac:dyDescent="0.25">
      <c r="B1714" s="61">
        <v>1681</v>
      </c>
      <c r="C1714" s="61">
        <v>437162.81755606772</v>
      </c>
      <c r="D1714" s="102">
        <v>0.39647275230010637</v>
      </c>
    </row>
    <row r="1715" spans="2:4" x14ac:dyDescent="0.25">
      <c r="B1715" s="61">
        <v>1682</v>
      </c>
      <c r="C1715" s="61">
        <v>318617.82038024475</v>
      </c>
      <c r="D1715" s="102">
        <v>0.30304861683301065</v>
      </c>
    </row>
    <row r="1716" spans="2:4" x14ac:dyDescent="0.25">
      <c r="B1716" s="61">
        <v>1683</v>
      </c>
      <c r="C1716" s="61">
        <v>44182.264031408937</v>
      </c>
      <c r="D1716" s="102">
        <v>0.10160088446317839</v>
      </c>
    </row>
    <row r="1717" spans="2:4" x14ac:dyDescent="0.25">
      <c r="B1717" s="61">
        <v>1684</v>
      </c>
      <c r="C1717" s="61">
        <v>207107.25653838401</v>
      </c>
      <c r="D1717" s="102">
        <v>0.2518652683162157</v>
      </c>
    </row>
    <row r="1718" spans="2:4" x14ac:dyDescent="0.25">
      <c r="B1718" s="61">
        <v>1685</v>
      </c>
      <c r="C1718" s="61">
        <v>236867.73056034837</v>
      </c>
      <c r="D1718" s="102">
        <v>0.23457647248209912</v>
      </c>
    </row>
    <row r="1719" spans="2:4" x14ac:dyDescent="0.25">
      <c r="B1719" s="61">
        <v>1686</v>
      </c>
      <c r="C1719" s="61">
        <v>324659.56707102398</v>
      </c>
      <c r="D1719" s="102">
        <v>0.29206367907859687</v>
      </c>
    </row>
    <row r="1720" spans="2:4" x14ac:dyDescent="0.25">
      <c r="B1720" s="61">
        <v>1687</v>
      </c>
      <c r="C1720" s="61">
        <v>119904.02224689029</v>
      </c>
      <c r="D1720" s="102">
        <v>0.16824428610593412</v>
      </c>
    </row>
    <row r="1721" spans="2:4" x14ac:dyDescent="0.25">
      <c r="B1721" s="61">
        <v>1688</v>
      </c>
      <c r="C1721" s="61">
        <v>253745.07539314881</v>
      </c>
      <c r="D1721" s="102">
        <v>0.25513272697543266</v>
      </c>
    </row>
    <row r="1722" spans="2:4" x14ac:dyDescent="0.25">
      <c r="B1722" s="61">
        <v>1689</v>
      </c>
      <c r="C1722" s="61">
        <v>470249.69734954298</v>
      </c>
      <c r="D1722" s="102">
        <v>0.50543296446901786</v>
      </c>
    </row>
    <row r="1723" spans="2:4" x14ac:dyDescent="0.25">
      <c r="B1723" s="61">
        <v>1690</v>
      </c>
      <c r="C1723" s="61">
        <v>323513.84317188128</v>
      </c>
      <c r="D1723" s="102">
        <v>0.33344767451352331</v>
      </c>
    </row>
    <row r="1724" spans="2:4" x14ac:dyDescent="0.25">
      <c r="B1724" s="61">
        <v>1691</v>
      </c>
      <c r="C1724" s="61">
        <v>209647.65158762387</v>
      </c>
      <c r="D1724" s="102">
        <v>0.25072280161036353</v>
      </c>
    </row>
    <row r="1725" spans="2:4" x14ac:dyDescent="0.25">
      <c r="B1725" s="61">
        <v>1692</v>
      </c>
      <c r="C1725" s="61">
        <v>250919.20480553305</v>
      </c>
      <c r="D1725" s="102">
        <v>0.22597815562675172</v>
      </c>
    </row>
    <row r="1726" spans="2:4" x14ac:dyDescent="0.25">
      <c r="B1726" s="61">
        <v>1693</v>
      </c>
      <c r="C1726" s="61">
        <v>322960.52307694557</v>
      </c>
      <c r="D1726" s="102">
        <v>0.31451346447780026</v>
      </c>
    </row>
    <row r="1727" spans="2:4" x14ac:dyDescent="0.25">
      <c r="B1727" s="61">
        <v>1694</v>
      </c>
      <c r="C1727" s="61">
        <v>316967.09975666017</v>
      </c>
      <c r="D1727" s="102">
        <v>0.30804208291013579</v>
      </c>
    </row>
    <row r="1728" spans="2:4" x14ac:dyDescent="0.25">
      <c r="B1728" s="61">
        <v>1695</v>
      </c>
      <c r="C1728" s="61">
        <v>259725.76722271193</v>
      </c>
      <c r="D1728" s="102">
        <v>0.28233273021266658</v>
      </c>
    </row>
    <row r="1729" spans="2:4" x14ac:dyDescent="0.25">
      <c r="B1729" s="61">
        <v>1696</v>
      </c>
      <c r="C1729" s="61">
        <v>407415.70784089738</v>
      </c>
      <c r="D1729" s="102">
        <v>0.35567838726879608</v>
      </c>
    </row>
    <row r="1730" spans="2:4" x14ac:dyDescent="0.25">
      <c r="B1730" s="61">
        <v>1697</v>
      </c>
      <c r="C1730" s="61">
        <v>236808.26918331464</v>
      </c>
      <c r="D1730" s="102">
        <v>0.26938235677218847</v>
      </c>
    </row>
    <row r="1731" spans="2:4" x14ac:dyDescent="0.25">
      <c r="B1731" s="61">
        <v>1698</v>
      </c>
      <c r="C1731" s="61">
        <v>348958.67746254941</v>
      </c>
      <c r="D1731" s="102">
        <v>0.33654095582376242</v>
      </c>
    </row>
    <row r="1732" spans="2:4" x14ac:dyDescent="0.25">
      <c r="B1732" s="61">
        <v>1699</v>
      </c>
      <c r="C1732" s="61">
        <v>104567.99297290359</v>
      </c>
      <c r="D1732" s="102">
        <v>0.13562597653980624</v>
      </c>
    </row>
    <row r="1733" spans="2:4" x14ac:dyDescent="0.25">
      <c r="B1733" s="61">
        <v>1700</v>
      </c>
      <c r="C1733" s="61">
        <v>205488.36200106423</v>
      </c>
      <c r="D1733" s="102">
        <v>0.21403500036916179</v>
      </c>
    </row>
    <row r="1734" spans="2:4" x14ac:dyDescent="0.25">
      <c r="B1734" s="61">
        <v>1701</v>
      </c>
      <c r="C1734" s="61">
        <v>238292.41275066626</v>
      </c>
      <c r="D1734" s="102">
        <v>0.27414123632085063</v>
      </c>
    </row>
    <row r="1735" spans="2:4" x14ac:dyDescent="0.25">
      <c r="B1735" s="61">
        <v>1702</v>
      </c>
      <c r="C1735" s="61">
        <v>219000.24854443036</v>
      </c>
      <c r="D1735" s="102">
        <v>0.25003284069273723</v>
      </c>
    </row>
    <row r="1736" spans="2:4" x14ac:dyDescent="0.25">
      <c r="B1736" s="61">
        <v>1703</v>
      </c>
      <c r="C1736" s="61">
        <v>202010.62547528523</v>
      </c>
      <c r="D1736" s="102">
        <v>0.27031805798150854</v>
      </c>
    </row>
    <row r="1737" spans="2:4" x14ac:dyDescent="0.25">
      <c r="B1737" s="61">
        <v>1704</v>
      </c>
      <c r="C1737" s="61">
        <v>250497.54126537999</v>
      </c>
      <c r="D1737" s="102">
        <v>0.25844090731186342</v>
      </c>
    </row>
    <row r="1738" spans="2:4" x14ac:dyDescent="0.25">
      <c r="B1738" s="61">
        <v>1705</v>
      </c>
      <c r="C1738" s="61">
        <v>601835.22788882721</v>
      </c>
      <c r="D1738" s="102">
        <v>0.52441977814483254</v>
      </c>
    </row>
    <row r="1739" spans="2:4" x14ac:dyDescent="0.25">
      <c r="B1739" s="61">
        <v>1706</v>
      </c>
      <c r="C1739" s="61">
        <v>440349.98004591058</v>
      </c>
      <c r="D1739" s="102">
        <v>0.37728620688386383</v>
      </c>
    </row>
    <row r="1740" spans="2:4" x14ac:dyDescent="0.25">
      <c r="B1740" s="61">
        <v>1707</v>
      </c>
      <c r="C1740" s="61">
        <v>343314.65321569436</v>
      </c>
      <c r="D1740" s="102">
        <v>0.37504064638619461</v>
      </c>
    </row>
    <row r="1741" spans="2:4" x14ac:dyDescent="0.25">
      <c r="B1741" s="61">
        <v>1708</v>
      </c>
      <c r="C1741" s="61">
        <v>228284.29345663637</v>
      </c>
      <c r="D1741" s="102">
        <v>0.29166922188300037</v>
      </c>
    </row>
    <row r="1742" spans="2:4" x14ac:dyDescent="0.25">
      <c r="B1742" s="61">
        <v>1709</v>
      </c>
      <c r="C1742" s="61">
        <v>254233.20213151933</v>
      </c>
      <c r="D1742" s="102">
        <v>0.30019179390236772</v>
      </c>
    </row>
    <row r="1743" spans="2:4" x14ac:dyDescent="0.25">
      <c r="B1743" s="61">
        <v>1710</v>
      </c>
      <c r="C1743" s="61">
        <v>126877.63225999399</v>
      </c>
      <c r="D1743" s="102">
        <v>0.1853684101518609</v>
      </c>
    </row>
    <row r="1744" spans="2:4" x14ac:dyDescent="0.25">
      <c r="B1744" s="61">
        <v>1711</v>
      </c>
      <c r="C1744" s="61">
        <v>364813.42374730064</v>
      </c>
      <c r="D1744" s="102">
        <v>0.42843658977835686</v>
      </c>
    </row>
    <row r="1745" spans="2:4" x14ac:dyDescent="0.25">
      <c r="B1745" s="61">
        <v>1712</v>
      </c>
      <c r="C1745" s="61">
        <v>310146.51781105401</v>
      </c>
      <c r="D1745" s="102">
        <v>0.32937924696351462</v>
      </c>
    </row>
    <row r="1746" spans="2:4" x14ac:dyDescent="0.25">
      <c r="B1746" s="61">
        <v>1713</v>
      </c>
      <c r="C1746" s="61">
        <v>362655.79177661659</v>
      </c>
      <c r="D1746" s="102">
        <v>0.32268391123504192</v>
      </c>
    </row>
    <row r="1747" spans="2:4" x14ac:dyDescent="0.25">
      <c r="B1747" s="61">
        <v>1714</v>
      </c>
      <c r="C1747" s="61">
        <v>277145.5145148848</v>
      </c>
      <c r="D1747" s="102">
        <v>0.25849132092870564</v>
      </c>
    </row>
    <row r="1748" spans="2:4" x14ac:dyDescent="0.25">
      <c r="B1748" s="61">
        <v>1715</v>
      </c>
      <c r="C1748" s="61">
        <v>198260.26901429135</v>
      </c>
      <c r="D1748" s="102">
        <v>0.25190415659002685</v>
      </c>
    </row>
    <row r="1749" spans="2:4" x14ac:dyDescent="0.25">
      <c r="B1749" s="61">
        <v>1716</v>
      </c>
      <c r="C1749" s="61">
        <v>12097.647806359106</v>
      </c>
      <c r="D1749" s="102">
        <v>7.2705897779060003E-2</v>
      </c>
    </row>
    <row r="1750" spans="2:4" x14ac:dyDescent="0.25">
      <c r="B1750" s="61">
        <v>1717</v>
      </c>
      <c r="C1750" s="61">
        <v>253591.2195102378</v>
      </c>
      <c r="D1750" s="102">
        <v>0.2821864740941431</v>
      </c>
    </row>
    <row r="1751" spans="2:4" x14ac:dyDescent="0.25">
      <c r="B1751" s="61">
        <v>1718</v>
      </c>
      <c r="C1751" s="61">
        <v>31600.071079787274</v>
      </c>
      <c r="D1751" s="102">
        <v>8.8764381846841767E-2</v>
      </c>
    </row>
    <row r="1752" spans="2:4" x14ac:dyDescent="0.25">
      <c r="B1752" s="61">
        <v>1719</v>
      </c>
      <c r="C1752" s="61">
        <v>47383.824346837413</v>
      </c>
      <c r="D1752" s="102">
        <v>0.11193018488140916</v>
      </c>
    </row>
    <row r="1753" spans="2:4" x14ac:dyDescent="0.25">
      <c r="B1753" s="61">
        <v>1720</v>
      </c>
      <c r="C1753" s="61">
        <v>184759.06387531466</v>
      </c>
      <c r="D1753" s="102">
        <v>0.20414634529811493</v>
      </c>
    </row>
    <row r="1754" spans="2:4" x14ac:dyDescent="0.25">
      <c r="B1754" s="61">
        <v>1721</v>
      </c>
      <c r="C1754" s="61">
        <v>415508.30550546886</v>
      </c>
      <c r="D1754" s="102">
        <v>0.38264757635190727</v>
      </c>
    </row>
    <row r="1755" spans="2:4" x14ac:dyDescent="0.25">
      <c r="B1755" s="61">
        <v>1722</v>
      </c>
      <c r="C1755" s="61">
        <v>298810.29384663864</v>
      </c>
      <c r="D1755" s="102">
        <v>0.29235682797561457</v>
      </c>
    </row>
    <row r="1756" spans="2:4" x14ac:dyDescent="0.25">
      <c r="B1756" s="61">
        <v>1723</v>
      </c>
      <c r="C1756" s="61">
        <v>269702.61170851695</v>
      </c>
      <c r="D1756" s="102">
        <v>0.22857551050528757</v>
      </c>
    </row>
    <row r="1757" spans="2:4" x14ac:dyDescent="0.25">
      <c r="B1757" s="61">
        <v>1724</v>
      </c>
      <c r="C1757" s="61">
        <v>66310.215969067009</v>
      </c>
      <c r="D1757" s="102">
        <v>0.10781222550336311</v>
      </c>
    </row>
    <row r="1758" spans="2:4" x14ac:dyDescent="0.25">
      <c r="B1758" s="61">
        <v>1725</v>
      </c>
      <c r="C1758" s="61">
        <v>362919.0689474406</v>
      </c>
      <c r="D1758" s="102">
        <v>0.40661468102073628</v>
      </c>
    </row>
    <row r="1759" spans="2:4" x14ac:dyDescent="0.25">
      <c r="B1759" s="61">
        <v>1726</v>
      </c>
      <c r="C1759" s="61">
        <v>394543.40190128284</v>
      </c>
      <c r="D1759" s="102">
        <v>0.34825935323003754</v>
      </c>
    </row>
    <row r="1760" spans="2:4" x14ac:dyDescent="0.25">
      <c r="B1760" s="61">
        <v>1727</v>
      </c>
      <c r="C1760" s="61">
        <v>206100.34999293578</v>
      </c>
      <c r="D1760" s="102">
        <v>0.29036859554815053</v>
      </c>
    </row>
    <row r="1761" spans="2:4" x14ac:dyDescent="0.25">
      <c r="B1761" s="61">
        <v>1728</v>
      </c>
      <c r="C1761" s="61">
        <v>214875.38062477007</v>
      </c>
      <c r="D1761" s="102">
        <v>0.19734518470397266</v>
      </c>
    </row>
    <row r="1762" spans="2:4" x14ac:dyDescent="0.25">
      <c r="B1762" s="61">
        <v>1729</v>
      </c>
      <c r="C1762" s="61">
        <v>108345.86036342749</v>
      </c>
      <c r="D1762" s="102">
        <v>0.14855653691167658</v>
      </c>
    </row>
    <row r="1763" spans="2:4" x14ac:dyDescent="0.25">
      <c r="B1763" s="61">
        <v>1730</v>
      </c>
      <c r="C1763" s="61">
        <v>159281.11670848768</v>
      </c>
      <c r="D1763" s="102">
        <v>0.20221824078103467</v>
      </c>
    </row>
    <row r="1764" spans="2:4" x14ac:dyDescent="0.25">
      <c r="B1764" s="61">
        <v>1731</v>
      </c>
      <c r="C1764" s="61">
        <v>303194.2335626795</v>
      </c>
      <c r="D1764" s="102">
        <v>0.31172756356665521</v>
      </c>
    </row>
    <row r="1765" spans="2:4" x14ac:dyDescent="0.25">
      <c r="B1765" s="61">
        <v>1732</v>
      </c>
      <c r="C1765" s="61">
        <v>307435.40885202645</v>
      </c>
      <c r="D1765" s="102">
        <v>0.3391831970935395</v>
      </c>
    </row>
    <row r="1766" spans="2:4" x14ac:dyDescent="0.25">
      <c r="B1766" s="61">
        <v>1733</v>
      </c>
      <c r="C1766" s="61">
        <v>87037.005303932296</v>
      </c>
      <c r="D1766" s="102">
        <v>0.12358173612820078</v>
      </c>
    </row>
    <row r="1767" spans="2:4" x14ac:dyDescent="0.25">
      <c r="B1767" s="61">
        <v>1734</v>
      </c>
      <c r="C1767" s="61">
        <v>276737.95493241295</v>
      </c>
      <c r="D1767" s="102">
        <v>0.29506968141732903</v>
      </c>
    </row>
    <row r="1768" spans="2:4" x14ac:dyDescent="0.25">
      <c r="B1768" s="61">
        <v>1735</v>
      </c>
      <c r="C1768" s="61">
        <v>337731.01116722648</v>
      </c>
      <c r="D1768" s="102">
        <v>0.28616513612746042</v>
      </c>
    </row>
    <row r="1769" spans="2:4" x14ac:dyDescent="0.25">
      <c r="B1769" s="61">
        <v>1736</v>
      </c>
      <c r="C1769" s="61">
        <v>106910.24225778889</v>
      </c>
      <c r="D1769" s="102">
        <v>0.19007301855610503</v>
      </c>
    </row>
    <row r="1770" spans="2:4" x14ac:dyDescent="0.25">
      <c r="B1770" s="61">
        <v>1737</v>
      </c>
      <c r="C1770" s="61">
        <v>-94566.783446519636</v>
      </c>
      <c r="D1770" s="102">
        <v>-3.0214422926111983E-2</v>
      </c>
    </row>
    <row r="1771" spans="2:4" x14ac:dyDescent="0.25">
      <c r="B1771" s="61">
        <v>1738</v>
      </c>
      <c r="C1771" s="61">
        <v>140264.30370086967</v>
      </c>
      <c r="D1771" s="102">
        <v>0.19616731924952369</v>
      </c>
    </row>
    <row r="1772" spans="2:4" x14ac:dyDescent="0.25">
      <c r="B1772" s="61">
        <v>1739</v>
      </c>
      <c r="C1772" s="61">
        <v>161915.72706036421</v>
      </c>
      <c r="D1772" s="102">
        <v>0.17090051983703769</v>
      </c>
    </row>
    <row r="1773" spans="2:4" x14ac:dyDescent="0.25">
      <c r="B1773" s="61">
        <v>1740</v>
      </c>
      <c r="C1773" s="61">
        <v>548724.18409557326</v>
      </c>
      <c r="D1773" s="102">
        <v>0.51755681557128175</v>
      </c>
    </row>
    <row r="1774" spans="2:4" x14ac:dyDescent="0.25">
      <c r="B1774" s="61">
        <v>1741</v>
      </c>
      <c r="C1774" s="61">
        <v>260492.90769692627</v>
      </c>
      <c r="D1774" s="102">
        <v>0.27649436477687472</v>
      </c>
    </row>
    <row r="1775" spans="2:4" x14ac:dyDescent="0.25">
      <c r="B1775" s="61">
        <v>1742</v>
      </c>
      <c r="C1775" s="61">
        <v>453219.10456163983</v>
      </c>
      <c r="D1775" s="102">
        <v>0.42511052479148792</v>
      </c>
    </row>
    <row r="1776" spans="2:4" x14ac:dyDescent="0.25">
      <c r="B1776" s="61">
        <v>1743</v>
      </c>
      <c r="C1776" s="61">
        <v>422430.19796586805</v>
      </c>
      <c r="D1776" s="102">
        <v>0.44365157740430372</v>
      </c>
    </row>
    <row r="1777" spans="2:4" x14ac:dyDescent="0.25">
      <c r="B1777" s="61">
        <v>1744</v>
      </c>
      <c r="C1777" s="61">
        <v>232363.34482100373</v>
      </c>
      <c r="D1777" s="102">
        <v>0.24868233320171873</v>
      </c>
    </row>
    <row r="1778" spans="2:4" x14ac:dyDescent="0.25">
      <c r="B1778" s="61">
        <v>1745</v>
      </c>
      <c r="C1778" s="61">
        <v>168553.9658718264</v>
      </c>
      <c r="D1778" s="102">
        <v>0.17326418089331663</v>
      </c>
    </row>
    <row r="1779" spans="2:4" x14ac:dyDescent="0.25">
      <c r="B1779" s="61">
        <v>1746</v>
      </c>
      <c r="C1779" s="61">
        <v>351479.59768387012</v>
      </c>
      <c r="D1779" s="102">
        <v>0.34613082369428705</v>
      </c>
    </row>
    <row r="1780" spans="2:4" x14ac:dyDescent="0.25">
      <c r="B1780" s="61">
        <v>1747</v>
      </c>
      <c r="C1780" s="61">
        <v>57623.194968297845</v>
      </c>
      <c r="D1780" s="102">
        <v>0.10920595249827936</v>
      </c>
    </row>
    <row r="1781" spans="2:4" x14ac:dyDescent="0.25">
      <c r="B1781" s="61">
        <v>1748</v>
      </c>
      <c r="C1781" s="61">
        <v>143448.80839111411</v>
      </c>
      <c r="D1781" s="102">
        <v>0.19770574281462161</v>
      </c>
    </row>
    <row r="1782" spans="2:4" x14ac:dyDescent="0.25">
      <c r="B1782" s="61">
        <v>1749</v>
      </c>
      <c r="C1782" s="61">
        <v>396329.10084917059</v>
      </c>
      <c r="D1782" s="102">
        <v>0.39015726795969052</v>
      </c>
    </row>
    <row r="1783" spans="2:4" x14ac:dyDescent="0.25">
      <c r="B1783" s="61">
        <v>1750</v>
      </c>
      <c r="C1783" s="61">
        <v>222004.13035019382</v>
      </c>
      <c r="D1783" s="102">
        <v>0.228803932731513</v>
      </c>
    </row>
    <row r="1784" spans="2:4" x14ac:dyDescent="0.25">
      <c r="B1784" s="61">
        <v>1751</v>
      </c>
      <c r="C1784" s="61">
        <v>212329.80331345205</v>
      </c>
      <c r="D1784" s="102">
        <v>0.20451736695267142</v>
      </c>
    </row>
    <row r="1785" spans="2:4" x14ac:dyDescent="0.25">
      <c r="B1785" s="61">
        <v>1752</v>
      </c>
      <c r="C1785" s="61">
        <v>132643.60572843818</v>
      </c>
      <c r="D1785" s="102">
        <v>0.1546114459904564</v>
      </c>
    </row>
    <row r="1786" spans="2:4" x14ac:dyDescent="0.25">
      <c r="B1786" s="61">
        <v>1753</v>
      </c>
      <c r="C1786" s="61">
        <v>557086.23107153841</v>
      </c>
      <c r="D1786" s="102">
        <v>0.46319240297536446</v>
      </c>
    </row>
    <row r="1787" spans="2:4" x14ac:dyDescent="0.25">
      <c r="B1787" s="61">
        <v>1754</v>
      </c>
      <c r="C1787" s="61">
        <v>355658.7176424741</v>
      </c>
      <c r="D1787" s="102">
        <v>0.39051801790267104</v>
      </c>
    </row>
    <row r="1788" spans="2:4" x14ac:dyDescent="0.25">
      <c r="B1788" s="61">
        <v>1755</v>
      </c>
      <c r="C1788" s="61">
        <v>255922.68217337027</v>
      </c>
      <c r="D1788" s="102">
        <v>0.25925313502607383</v>
      </c>
    </row>
    <row r="1789" spans="2:4" x14ac:dyDescent="0.25">
      <c r="B1789" s="61">
        <v>1756</v>
      </c>
      <c r="C1789" s="61">
        <v>243217.336675636</v>
      </c>
      <c r="D1789" s="102">
        <v>0.25997458395084361</v>
      </c>
    </row>
    <row r="1790" spans="2:4" x14ac:dyDescent="0.25">
      <c r="B1790" s="61">
        <v>1757</v>
      </c>
      <c r="C1790" s="61">
        <v>397357.18242003152</v>
      </c>
      <c r="D1790" s="102">
        <v>0.35382111328305488</v>
      </c>
    </row>
    <row r="1791" spans="2:4" x14ac:dyDescent="0.25">
      <c r="B1791" s="61">
        <v>1758</v>
      </c>
      <c r="C1791" s="61">
        <v>410846.23412700964</v>
      </c>
      <c r="D1791" s="102">
        <v>0.39268401382311247</v>
      </c>
    </row>
    <row r="1792" spans="2:4" x14ac:dyDescent="0.25">
      <c r="B1792" s="61">
        <v>1759</v>
      </c>
      <c r="C1792" s="61">
        <v>275907.04049460695</v>
      </c>
      <c r="D1792" s="102">
        <v>0.25005474565206076</v>
      </c>
    </row>
    <row r="1793" spans="2:4" x14ac:dyDescent="0.25">
      <c r="B1793" s="61">
        <v>1760</v>
      </c>
      <c r="C1793" s="61">
        <v>-84552.894706672058</v>
      </c>
      <c r="D1793" s="102">
        <v>-4.1172654872493331E-3</v>
      </c>
    </row>
    <row r="1794" spans="2:4" x14ac:dyDescent="0.25">
      <c r="B1794" s="61">
        <v>1761</v>
      </c>
      <c r="C1794" s="61">
        <v>332521.33081626636</v>
      </c>
      <c r="D1794" s="102">
        <v>0.27129420866238174</v>
      </c>
    </row>
    <row r="1795" spans="2:4" x14ac:dyDescent="0.25">
      <c r="B1795" s="61">
        <v>1762</v>
      </c>
      <c r="C1795" s="61">
        <v>6879.067777141754</v>
      </c>
      <c r="D1795" s="102">
        <v>6.9594100927445668E-2</v>
      </c>
    </row>
    <row r="1796" spans="2:4" x14ac:dyDescent="0.25">
      <c r="B1796" s="61">
        <v>1763</v>
      </c>
      <c r="C1796" s="61">
        <v>78305.160620132112</v>
      </c>
      <c r="D1796" s="102">
        <v>0.11852202162042724</v>
      </c>
    </row>
    <row r="1797" spans="2:4" x14ac:dyDescent="0.25">
      <c r="B1797" s="61">
        <v>1764</v>
      </c>
      <c r="C1797" s="61">
        <v>199767.45381060417</v>
      </c>
      <c r="D1797" s="102">
        <v>0.19114119211149672</v>
      </c>
    </row>
    <row r="1798" spans="2:4" x14ac:dyDescent="0.25">
      <c r="B1798" s="61">
        <v>1765</v>
      </c>
      <c r="C1798" s="61">
        <v>-13225.98200925719</v>
      </c>
      <c r="D1798" s="102">
        <v>5.0616345388559525E-2</v>
      </c>
    </row>
    <row r="1799" spans="2:4" x14ac:dyDescent="0.25">
      <c r="B1799" s="61">
        <v>1766</v>
      </c>
      <c r="C1799" s="61">
        <v>402103.61068274709</v>
      </c>
      <c r="D1799" s="102">
        <v>0.34738091395694148</v>
      </c>
    </row>
    <row r="1800" spans="2:4" x14ac:dyDescent="0.25">
      <c r="B1800" s="61">
        <v>1767</v>
      </c>
      <c r="C1800" s="61">
        <v>331688.20664796396</v>
      </c>
      <c r="D1800" s="102">
        <v>0.39538037299735507</v>
      </c>
    </row>
    <row r="1801" spans="2:4" x14ac:dyDescent="0.25">
      <c r="B1801" s="61">
        <v>1768</v>
      </c>
      <c r="C1801" s="61">
        <v>265302.07462262874</v>
      </c>
      <c r="D1801" s="102">
        <v>0.27144222139498941</v>
      </c>
    </row>
    <row r="1802" spans="2:4" x14ac:dyDescent="0.25">
      <c r="B1802" s="61">
        <v>1769</v>
      </c>
      <c r="C1802" s="61">
        <v>567437.73319197411</v>
      </c>
      <c r="D1802" s="102">
        <v>0.44828421559544762</v>
      </c>
    </row>
    <row r="1803" spans="2:4" x14ac:dyDescent="0.25">
      <c r="B1803" s="61">
        <v>1770</v>
      </c>
      <c r="C1803" s="61">
        <v>209530.92885499063</v>
      </c>
      <c r="D1803" s="102">
        <v>0.25960728301098324</v>
      </c>
    </row>
    <row r="1804" spans="2:4" x14ac:dyDescent="0.25">
      <c r="B1804" s="61">
        <v>1771</v>
      </c>
      <c r="C1804" s="61">
        <v>432118.99707645609</v>
      </c>
      <c r="D1804" s="102">
        <v>0.30950117987057402</v>
      </c>
    </row>
    <row r="1805" spans="2:4" x14ac:dyDescent="0.25">
      <c r="B1805" s="61">
        <v>1772</v>
      </c>
      <c r="C1805" s="61">
        <v>281355.56337853603</v>
      </c>
      <c r="D1805" s="102">
        <v>0.27259763426391492</v>
      </c>
    </row>
    <row r="1806" spans="2:4" x14ac:dyDescent="0.25">
      <c r="B1806" s="61">
        <v>1773</v>
      </c>
      <c r="C1806" s="61">
        <v>365850.11606904923</v>
      </c>
      <c r="D1806" s="102">
        <v>0.38371821838327236</v>
      </c>
    </row>
    <row r="1807" spans="2:4" x14ac:dyDescent="0.25">
      <c r="B1807" s="61">
        <v>1774</v>
      </c>
      <c r="C1807" s="61">
        <v>538459.46025102248</v>
      </c>
      <c r="D1807" s="102">
        <v>0.49088861113450477</v>
      </c>
    </row>
    <row r="1808" spans="2:4" x14ac:dyDescent="0.25">
      <c r="B1808" s="61">
        <v>1775</v>
      </c>
      <c r="C1808" s="61">
        <v>386314.88587424404</v>
      </c>
      <c r="D1808" s="102">
        <v>0.30672357524943661</v>
      </c>
    </row>
    <row r="1809" spans="2:4" x14ac:dyDescent="0.25">
      <c r="B1809" s="61">
        <v>1776</v>
      </c>
      <c r="C1809" s="61">
        <v>303802.50638323568</v>
      </c>
      <c r="D1809" s="102">
        <v>0.26210207577845135</v>
      </c>
    </row>
    <row r="1810" spans="2:4" x14ac:dyDescent="0.25">
      <c r="B1810" s="61">
        <v>1777</v>
      </c>
      <c r="C1810" s="61">
        <v>162776.52917978074</v>
      </c>
      <c r="D1810" s="102">
        <v>0.18082018406571954</v>
      </c>
    </row>
    <row r="1811" spans="2:4" x14ac:dyDescent="0.25">
      <c r="B1811" s="61">
        <v>1778</v>
      </c>
      <c r="C1811" s="61">
        <v>494246.6560047461</v>
      </c>
      <c r="D1811" s="102">
        <v>0.42242641653213653</v>
      </c>
    </row>
    <row r="1812" spans="2:4" x14ac:dyDescent="0.25">
      <c r="B1812" s="61">
        <v>1779</v>
      </c>
      <c r="C1812" s="61">
        <v>470463.45209516748</v>
      </c>
      <c r="D1812" s="102">
        <v>0.39019580474487459</v>
      </c>
    </row>
    <row r="1813" spans="2:4" x14ac:dyDescent="0.25">
      <c r="B1813" s="61">
        <v>1780</v>
      </c>
      <c r="C1813" s="61">
        <v>113060.69612039614</v>
      </c>
      <c r="D1813" s="102">
        <v>0.14572890584813991</v>
      </c>
    </row>
    <row r="1814" spans="2:4" x14ac:dyDescent="0.25">
      <c r="B1814" s="61">
        <v>1781</v>
      </c>
      <c r="C1814" s="61">
        <v>231813.12149407389</v>
      </c>
      <c r="D1814" s="102">
        <v>0.22726296549942204</v>
      </c>
    </row>
    <row r="1815" spans="2:4" x14ac:dyDescent="0.25">
      <c r="B1815" s="61">
        <v>1782</v>
      </c>
      <c r="C1815" s="61">
        <v>40078.406956567429</v>
      </c>
      <c r="D1815" s="102">
        <v>9.1538018440507907E-2</v>
      </c>
    </row>
    <row r="1816" spans="2:4" x14ac:dyDescent="0.25">
      <c r="B1816" s="61">
        <v>1783</v>
      </c>
      <c r="C1816" s="61">
        <v>193490.4959255961</v>
      </c>
      <c r="D1816" s="102">
        <v>0.18952212539731006</v>
      </c>
    </row>
    <row r="1817" spans="2:4" x14ac:dyDescent="0.25">
      <c r="B1817" s="61">
        <v>1784</v>
      </c>
      <c r="C1817" s="61">
        <v>262561.8990295534</v>
      </c>
      <c r="D1817" s="102">
        <v>0.29708363762839052</v>
      </c>
    </row>
    <row r="1818" spans="2:4" x14ac:dyDescent="0.25">
      <c r="B1818" s="61">
        <v>1785</v>
      </c>
      <c r="C1818" s="61">
        <v>267167.16663170047</v>
      </c>
      <c r="D1818" s="102">
        <v>0.26111832015785441</v>
      </c>
    </row>
    <row r="1819" spans="2:4" x14ac:dyDescent="0.25">
      <c r="B1819" s="61">
        <v>1786</v>
      </c>
      <c r="C1819" s="61">
        <v>196835.8093870841</v>
      </c>
      <c r="D1819" s="102">
        <v>0.19208693595114212</v>
      </c>
    </row>
    <row r="1820" spans="2:4" x14ac:dyDescent="0.25">
      <c r="B1820" s="61">
        <v>1787</v>
      </c>
      <c r="C1820" s="61">
        <v>139880.77642547328</v>
      </c>
      <c r="D1820" s="102">
        <v>0.19079878882417645</v>
      </c>
    </row>
    <row r="1821" spans="2:4" x14ac:dyDescent="0.25">
      <c r="B1821" s="61">
        <v>1788</v>
      </c>
      <c r="C1821" s="61">
        <v>358313.88573330932</v>
      </c>
      <c r="D1821" s="102">
        <v>0.34179576354020136</v>
      </c>
    </row>
    <row r="1822" spans="2:4" x14ac:dyDescent="0.25">
      <c r="B1822" s="61">
        <v>1789</v>
      </c>
      <c r="C1822" s="61">
        <v>484943.85177656112</v>
      </c>
      <c r="D1822" s="102">
        <v>0.41182518856868322</v>
      </c>
    </row>
    <row r="1823" spans="2:4" x14ac:dyDescent="0.25">
      <c r="B1823" s="61">
        <v>1790</v>
      </c>
      <c r="C1823" s="61">
        <v>293543.40767035552</v>
      </c>
      <c r="D1823" s="102">
        <v>0.30426186337178551</v>
      </c>
    </row>
    <row r="1824" spans="2:4" x14ac:dyDescent="0.25">
      <c r="B1824" s="61">
        <v>1791</v>
      </c>
      <c r="C1824" s="61">
        <v>293764.1758050489</v>
      </c>
      <c r="D1824" s="102">
        <v>0.27544183771385877</v>
      </c>
    </row>
    <row r="1825" spans="2:4" x14ac:dyDescent="0.25">
      <c r="B1825" s="61">
        <v>1792</v>
      </c>
      <c r="C1825" s="61">
        <v>306919.97391634528</v>
      </c>
      <c r="D1825" s="102">
        <v>0.33009633913544079</v>
      </c>
    </row>
    <row r="1826" spans="2:4" x14ac:dyDescent="0.25">
      <c r="B1826" s="61">
        <v>1793</v>
      </c>
      <c r="C1826" s="61">
        <v>297465.40442743502</v>
      </c>
      <c r="D1826" s="102">
        <v>0.3058919384169152</v>
      </c>
    </row>
    <row r="1827" spans="2:4" x14ac:dyDescent="0.25">
      <c r="B1827" s="61">
        <v>1794</v>
      </c>
      <c r="C1827" s="61">
        <v>159635.08764796529</v>
      </c>
      <c r="D1827" s="102">
        <v>0.1834824868825089</v>
      </c>
    </row>
    <row r="1828" spans="2:4" x14ac:dyDescent="0.25">
      <c r="B1828" s="61">
        <v>1795</v>
      </c>
      <c r="C1828" s="61">
        <v>132561.98828671238</v>
      </c>
      <c r="D1828" s="102">
        <v>0.16150862186143322</v>
      </c>
    </row>
    <row r="1829" spans="2:4" x14ac:dyDescent="0.25">
      <c r="B1829" s="61">
        <v>1796</v>
      </c>
      <c r="C1829" s="61">
        <v>97090.171687083261</v>
      </c>
      <c r="D1829" s="102">
        <v>0.1668788801983847</v>
      </c>
    </row>
    <row r="1830" spans="2:4" x14ac:dyDescent="0.25">
      <c r="B1830" s="61">
        <v>1797</v>
      </c>
      <c r="C1830" s="61">
        <v>320454.77963590587</v>
      </c>
      <c r="D1830" s="102">
        <v>0.33461879499673275</v>
      </c>
    </row>
    <row r="1831" spans="2:4" x14ac:dyDescent="0.25">
      <c r="B1831" s="61">
        <v>1798</v>
      </c>
      <c r="C1831" s="61">
        <v>359761.23920778837</v>
      </c>
      <c r="D1831" s="102">
        <v>0.33299193374004088</v>
      </c>
    </row>
    <row r="1832" spans="2:4" x14ac:dyDescent="0.25">
      <c r="B1832" s="61">
        <v>1799</v>
      </c>
      <c r="C1832" s="61">
        <v>468654.62096144608</v>
      </c>
      <c r="D1832" s="102">
        <v>0.43920735929836474</v>
      </c>
    </row>
    <row r="1833" spans="2:4" x14ac:dyDescent="0.25">
      <c r="B1833" s="61">
        <v>1800</v>
      </c>
      <c r="C1833" s="61">
        <v>307186.95088955341</v>
      </c>
      <c r="D1833" s="102">
        <v>0.28220319307043162</v>
      </c>
    </row>
    <row r="1834" spans="2:4" x14ac:dyDescent="0.25">
      <c r="B1834" s="61">
        <v>1801</v>
      </c>
      <c r="C1834" s="61">
        <v>347403.70675919764</v>
      </c>
      <c r="D1834" s="102">
        <v>0.31424967236183021</v>
      </c>
    </row>
    <row r="1835" spans="2:4" x14ac:dyDescent="0.25">
      <c r="B1835" s="61">
        <v>1802</v>
      </c>
      <c r="C1835" s="61">
        <v>300493.65410772315</v>
      </c>
      <c r="D1835" s="102">
        <v>0.28562528045438951</v>
      </c>
    </row>
    <row r="1836" spans="2:4" x14ac:dyDescent="0.25">
      <c r="B1836" s="61">
        <v>1803</v>
      </c>
      <c r="C1836" s="61">
        <v>230455.08116497297</v>
      </c>
      <c r="D1836" s="102">
        <v>0.2274838154200125</v>
      </c>
    </row>
    <row r="1837" spans="2:4" x14ac:dyDescent="0.25">
      <c r="B1837" s="61">
        <v>1804</v>
      </c>
      <c r="C1837" s="61">
        <v>323698.86338286602</v>
      </c>
      <c r="D1837" s="102">
        <v>0.29783855406086235</v>
      </c>
    </row>
    <row r="1838" spans="2:4" x14ac:dyDescent="0.25">
      <c r="B1838" s="61">
        <v>1805</v>
      </c>
      <c r="C1838" s="61">
        <v>451372.4712498287</v>
      </c>
      <c r="D1838" s="102">
        <v>0.41741673094663367</v>
      </c>
    </row>
    <row r="1839" spans="2:4" x14ac:dyDescent="0.25">
      <c r="B1839" s="61">
        <v>1806</v>
      </c>
      <c r="C1839" s="61">
        <v>11889.064748399949</v>
      </c>
      <c r="D1839" s="102">
        <v>7.0980642727247911E-2</v>
      </c>
    </row>
    <row r="1840" spans="2:4" x14ac:dyDescent="0.25">
      <c r="B1840" s="61">
        <v>1807</v>
      </c>
      <c r="C1840" s="61">
        <v>392190.63511322159</v>
      </c>
      <c r="D1840" s="102">
        <v>0.37399230259257377</v>
      </c>
    </row>
    <row r="1841" spans="2:4" x14ac:dyDescent="0.25">
      <c r="B1841" s="61">
        <v>1808</v>
      </c>
      <c r="C1841" s="61">
        <v>436708.48905215773</v>
      </c>
      <c r="D1841" s="102">
        <v>0.35694213210790759</v>
      </c>
    </row>
    <row r="1842" spans="2:4" x14ac:dyDescent="0.25">
      <c r="B1842" s="61">
        <v>1809</v>
      </c>
      <c r="C1842" s="61">
        <v>241367.11082753888</v>
      </c>
      <c r="D1842" s="102">
        <v>0.25068642573437749</v>
      </c>
    </row>
    <row r="1843" spans="2:4" x14ac:dyDescent="0.25">
      <c r="B1843" s="61">
        <v>1810</v>
      </c>
      <c r="C1843" s="61">
        <v>28560.674439912196</v>
      </c>
      <c r="D1843" s="102">
        <v>8.8605016718229068E-2</v>
      </c>
    </row>
    <row r="1844" spans="2:4" x14ac:dyDescent="0.25">
      <c r="B1844" s="61">
        <v>1811</v>
      </c>
      <c r="C1844" s="61">
        <v>340395.49751336849</v>
      </c>
      <c r="D1844" s="102">
        <v>0.30706927415947871</v>
      </c>
    </row>
    <row r="1845" spans="2:4" x14ac:dyDescent="0.25">
      <c r="B1845" s="61">
        <v>1812</v>
      </c>
      <c r="C1845" s="61">
        <v>67443.191166085075</v>
      </c>
      <c r="D1845" s="102">
        <v>0.11458902660016235</v>
      </c>
    </row>
    <row r="1846" spans="2:4" x14ac:dyDescent="0.25">
      <c r="B1846" s="61">
        <v>1813</v>
      </c>
      <c r="C1846" s="61">
        <v>430038.69421471702</v>
      </c>
      <c r="D1846" s="102">
        <v>0.4239142956838533</v>
      </c>
    </row>
    <row r="1847" spans="2:4" x14ac:dyDescent="0.25">
      <c r="B1847" s="61">
        <v>1814</v>
      </c>
      <c r="C1847" s="61">
        <v>253641.99202455219</v>
      </c>
      <c r="D1847" s="102">
        <v>0.25026432731195691</v>
      </c>
    </row>
    <row r="1848" spans="2:4" x14ac:dyDescent="0.25">
      <c r="B1848" s="61">
        <v>1815</v>
      </c>
      <c r="C1848" s="61">
        <v>307888.54206675733</v>
      </c>
      <c r="D1848" s="102">
        <v>0.30172931434665262</v>
      </c>
    </row>
    <row r="1849" spans="2:4" x14ac:dyDescent="0.25">
      <c r="B1849" s="61">
        <v>1816</v>
      </c>
      <c r="C1849" s="61">
        <v>341290.75662945048</v>
      </c>
      <c r="D1849" s="102">
        <v>0.33171083450769978</v>
      </c>
    </row>
    <row r="1850" spans="2:4" x14ac:dyDescent="0.25">
      <c r="B1850" s="61">
        <v>1817</v>
      </c>
      <c r="C1850" s="61">
        <v>286363.51504786802</v>
      </c>
      <c r="D1850" s="102">
        <v>0.27973869606358859</v>
      </c>
    </row>
    <row r="1851" spans="2:4" x14ac:dyDescent="0.25">
      <c r="B1851" s="61">
        <v>1818</v>
      </c>
      <c r="C1851" s="61">
        <v>368197.45965621178</v>
      </c>
      <c r="D1851" s="102">
        <v>0.38207926504832956</v>
      </c>
    </row>
    <row r="1852" spans="2:4" x14ac:dyDescent="0.25">
      <c r="B1852" s="61">
        <v>1819</v>
      </c>
      <c r="C1852" s="61">
        <v>363701.84183469275</v>
      </c>
      <c r="D1852" s="102">
        <v>0.29249453787937596</v>
      </c>
    </row>
    <row r="1853" spans="2:4" x14ac:dyDescent="0.25">
      <c r="B1853" s="61">
        <v>1820</v>
      </c>
      <c r="C1853" s="61">
        <v>207077.77595169481</v>
      </c>
      <c r="D1853" s="102">
        <v>0.21411493839442985</v>
      </c>
    </row>
    <row r="1854" spans="2:4" x14ac:dyDescent="0.25">
      <c r="B1854" s="61">
        <v>1821</v>
      </c>
      <c r="C1854" s="61">
        <v>364852.73476470832</v>
      </c>
      <c r="D1854" s="102">
        <v>0.36280189047190281</v>
      </c>
    </row>
    <row r="1855" spans="2:4" x14ac:dyDescent="0.25">
      <c r="B1855" s="61">
        <v>1822</v>
      </c>
      <c r="C1855" s="61">
        <v>91208.630366975791</v>
      </c>
      <c r="D1855" s="102">
        <v>0.14423088946308793</v>
      </c>
    </row>
    <row r="1856" spans="2:4" x14ac:dyDescent="0.25">
      <c r="B1856" s="61">
        <v>1823</v>
      </c>
      <c r="C1856" s="61">
        <v>253683.89550216275</v>
      </c>
      <c r="D1856" s="102">
        <v>0.24047302522135139</v>
      </c>
    </row>
    <row r="1857" spans="2:4" x14ac:dyDescent="0.25">
      <c r="B1857" s="61">
        <v>1824</v>
      </c>
      <c r="C1857" s="61">
        <v>315709.1158307218</v>
      </c>
      <c r="D1857" s="102">
        <v>0.30244995767248994</v>
      </c>
    </row>
    <row r="1858" spans="2:4" x14ac:dyDescent="0.25">
      <c r="B1858" s="61">
        <v>1825</v>
      </c>
      <c r="C1858" s="61">
        <v>330206.6111058885</v>
      </c>
      <c r="D1858" s="102">
        <v>0.29349722945115286</v>
      </c>
    </row>
    <row r="1859" spans="2:4" x14ac:dyDescent="0.25">
      <c r="B1859" s="61">
        <v>1826</v>
      </c>
      <c r="C1859" s="61">
        <v>490950.97704529564</v>
      </c>
      <c r="D1859" s="102">
        <v>0.45789210754959231</v>
      </c>
    </row>
    <row r="1860" spans="2:4" x14ac:dyDescent="0.25">
      <c r="B1860" s="61">
        <v>1827</v>
      </c>
      <c r="C1860" s="61">
        <v>568921.39895208238</v>
      </c>
      <c r="D1860" s="102">
        <v>0.39817787075403732</v>
      </c>
    </row>
    <row r="1861" spans="2:4" x14ac:dyDescent="0.25">
      <c r="B1861" s="61">
        <v>1828</v>
      </c>
      <c r="C1861" s="61">
        <v>349062.01249202935</v>
      </c>
      <c r="D1861" s="102">
        <v>0.37835505629691735</v>
      </c>
    </row>
    <row r="1862" spans="2:4" x14ac:dyDescent="0.25">
      <c r="B1862" s="61">
        <v>1829</v>
      </c>
      <c r="C1862" s="61">
        <v>289033.52889238426</v>
      </c>
      <c r="D1862" s="102">
        <v>0.33172660051528879</v>
      </c>
    </row>
    <row r="1863" spans="2:4" x14ac:dyDescent="0.25">
      <c r="B1863" s="61">
        <v>1830</v>
      </c>
      <c r="C1863" s="61">
        <v>291350.07313969499</v>
      </c>
      <c r="D1863" s="102">
        <v>0.2922259248767467</v>
      </c>
    </row>
    <row r="1864" spans="2:4" x14ac:dyDescent="0.25">
      <c r="B1864" s="61">
        <v>1831</v>
      </c>
      <c r="C1864" s="61">
        <v>187402.34559678368</v>
      </c>
      <c r="D1864" s="102">
        <v>0.20197805292486537</v>
      </c>
    </row>
    <row r="1865" spans="2:4" x14ac:dyDescent="0.25">
      <c r="B1865" s="61">
        <v>1832</v>
      </c>
      <c r="C1865" s="61">
        <v>358578.83669643407</v>
      </c>
      <c r="D1865" s="102">
        <v>0.38857624426329362</v>
      </c>
    </row>
    <row r="1866" spans="2:4" x14ac:dyDescent="0.25">
      <c r="B1866" s="61">
        <v>1833</v>
      </c>
      <c r="C1866" s="61">
        <v>151214.54446443694</v>
      </c>
      <c r="D1866" s="102">
        <v>0.16957102714580685</v>
      </c>
    </row>
    <row r="1867" spans="2:4" x14ac:dyDescent="0.25">
      <c r="B1867" s="61">
        <v>1834</v>
      </c>
      <c r="C1867" s="61">
        <v>262937.78300207632</v>
      </c>
      <c r="D1867" s="102">
        <v>0.29522370593337399</v>
      </c>
    </row>
    <row r="1868" spans="2:4" x14ac:dyDescent="0.25">
      <c r="B1868" s="61">
        <v>1835</v>
      </c>
      <c r="C1868" s="61">
        <v>271475.71635354124</v>
      </c>
      <c r="D1868" s="102">
        <v>0.28028755930455218</v>
      </c>
    </row>
    <row r="1869" spans="2:4" x14ac:dyDescent="0.25">
      <c r="B1869" s="61">
        <v>1836</v>
      </c>
      <c r="C1869" s="61">
        <v>22415.120850520034</v>
      </c>
      <c r="D1869" s="102">
        <v>7.9117877351641663E-2</v>
      </c>
    </row>
    <row r="1870" spans="2:4" x14ac:dyDescent="0.25">
      <c r="B1870" s="61">
        <v>1837</v>
      </c>
      <c r="C1870" s="61">
        <v>232874.19300186378</v>
      </c>
      <c r="D1870" s="102">
        <v>0.23653159032520632</v>
      </c>
    </row>
    <row r="1871" spans="2:4" x14ac:dyDescent="0.25">
      <c r="B1871" s="61">
        <v>1838</v>
      </c>
      <c r="C1871" s="61">
        <v>226986.04251429578</v>
      </c>
      <c r="D1871" s="102">
        <v>0.26097271462195093</v>
      </c>
    </row>
    <row r="1872" spans="2:4" x14ac:dyDescent="0.25">
      <c r="B1872" s="61">
        <v>1839</v>
      </c>
      <c r="C1872" s="61">
        <v>349290.77621247328</v>
      </c>
      <c r="D1872" s="102">
        <v>0.37213536587467422</v>
      </c>
    </row>
    <row r="1873" spans="2:4" x14ac:dyDescent="0.25">
      <c r="B1873" s="61">
        <v>1840</v>
      </c>
      <c r="C1873" s="61">
        <v>301412.30301474081</v>
      </c>
      <c r="D1873" s="102">
        <v>0.29375021143969593</v>
      </c>
    </row>
    <row r="1874" spans="2:4" x14ac:dyDescent="0.25">
      <c r="B1874" s="61">
        <v>1841</v>
      </c>
      <c r="C1874" s="61">
        <v>235431.20954629232</v>
      </c>
      <c r="D1874" s="102">
        <v>0.24327570783172137</v>
      </c>
    </row>
    <row r="1875" spans="2:4" x14ac:dyDescent="0.25">
      <c r="B1875" s="61">
        <v>1842</v>
      </c>
      <c r="C1875" s="61">
        <v>93088.838142798631</v>
      </c>
      <c r="D1875" s="102">
        <v>0.13614879429063098</v>
      </c>
    </row>
    <row r="1876" spans="2:4" x14ac:dyDescent="0.25">
      <c r="B1876" s="61">
        <v>1843</v>
      </c>
      <c r="C1876" s="61">
        <v>198281.726372479</v>
      </c>
      <c r="D1876" s="102">
        <v>0.25812729638880461</v>
      </c>
    </row>
    <row r="1877" spans="2:4" x14ac:dyDescent="0.25">
      <c r="B1877" s="61">
        <v>1844</v>
      </c>
      <c r="C1877" s="61">
        <v>435298.10817491217</v>
      </c>
      <c r="D1877" s="102">
        <v>0.43025556567749668</v>
      </c>
    </row>
    <row r="1878" spans="2:4" x14ac:dyDescent="0.25">
      <c r="B1878" s="61">
        <v>1845</v>
      </c>
      <c r="C1878" s="61">
        <v>17896.508239525429</v>
      </c>
      <c r="D1878" s="102">
        <v>7.5691184655445998E-2</v>
      </c>
    </row>
    <row r="1879" spans="2:4" x14ac:dyDescent="0.25">
      <c r="B1879" s="61">
        <v>1846</v>
      </c>
      <c r="C1879" s="61">
        <v>271169.69197042135</v>
      </c>
      <c r="D1879" s="102">
        <v>0.24994844179488296</v>
      </c>
    </row>
    <row r="1880" spans="2:4" x14ac:dyDescent="0.25">
      <c r="B1880" s="61">
        <v>1847</v>
      </c>
      <c r="C1880" s="61">
        <v>212769.71710738435</v>
      </c>
      <c r="D1880" s="102">
        <v>0.2472172738609002</v>
      </c>
    </row>
    <row r="1881" spans="2:4" x14ac:dyDescent="0.25">
      <c r="B1881" s="61">
        <v>1848</v>
      </c>
      <c r="C1881" s="61">
        <v>215628.618052401</v>
      </c>
      <c r="D1881" s="102">
        <v>0.19789672320556906</v>
      </c>
    </row>
    <row r="1882" spans="2:4" x14ac:dyDescent="0.25">
      <c r="B1882" s="61">
        <v>1849</v>
      </c>
      <c r="C1882" s="61">
        <v>355159.68455737282</v>
      </c>
      <c r="D1882" s="102">
        <v>0.32683646179235337</v>
      </c>
    </row>
    <row r="1883" spans="2:4" x14ac:dyDescent="0.25">
      <c r="B1883" s="61">
        <v>1850</v>
      </c>
      <c r="C1883" s="61">
        <v>61296.678162117547</v>
      </c>
      <c r="D1883" s="102">
        <v>0.1137680590888126</v>
      </c>
    </row>
    <row r="1884" spans="2:4" x14ac:dyDescent="0.25">
      <c r="B1884" s="61">
        <v>1851</v>
      </c>
      <c r="C1884" s="61">
        <v>251714.21694961342</v>
      </c>
      <c r="D1884" s="102">
        <v>0.25020967925771176</v>
      </c>
    </row>
    <row r="1885" spans="2:4" x14ac:dyDescent="0.25">
      <c r="B1885" s="61">
        <v>1852</v>
      </c>
      <c r="C1885" s="61">
        <v>158268.31567294081</v>
      </c>
      <c r="D1885" s="102">
        <v>0.21199400671904556</v>
      </c>
    </row>
    <row r="1886" spans="2:4" x14ac:dyDescent="0.25">
      <c r="B1886" s="61">
        <v>1853</v>
      </c>
      <c r="C1886" s="61">
        <v>435048.22894057899</v>
      </c>
      <c r="D1886" s="102">
        <v>0.3842043306677867</v>
      </c>
    </row>
    <row r="1887" spans="2:4" x14ac:dyDescent="0.25">
      <c r="B1887" s="61">
        <v>1854</v>
      </c>
      <c r="C1887" s="61">
        <v>220358.04070734128</v>
      </c>
      <c r="D1887" s="102">
        <v>0.30257565357572513</v>
      </c>
    </row>
    <row r="1888" spans="2:4" x14ac:dyDescent="0.25">
      <c r="B1888" s="61">
        <v>1855</v>
      </c>
      <c r="C1888" s="61">
        <v>136640.32072453003</v>
      </c>
      <c r="D1888" s="102">
        <v>0.14952767801624667</v>
      </c>
    </row>
    <row r="1889" spans="2:4" x14ac:dyDescent="0.25">
      <c r="B1889" s="61">
        <v>1856</v>
      </c>
      <c r="C1889" s="61">
        <v>219282.56247335975</v>
      </c>
      <c r="D1889" s="102">
        <v>0.22615987703319318</v>
      </c>
    </row>
    <row r="1890" spans="2:4" x14ac:dyDescent="0.25">
      <c r="B1890" s="61">
        <v>1857</v>
      </c>
      <c r="C1890" s="61">
        <v>385327.45342702873</v>
      </c>
      <c r="D1890" s="102">
        <v>0.37712097321091131</v>
      </c>
    </row>
    <row r="1891" spans="2:4" x14ac:dyDescent="0.25">
      <c r="B1891" s="61">
        <v>1858</v>
      </c>
      <c r="C1891" s="61">
        <v>255757.99228804803</v>
      </c>
      <c r="D1891" s="102">
        <v>0.2050437704938608</v>
      </c>
    </row>
    <row r="1892" spans="2:4" x14ac:dyDescent="0.25">
      <c r="B1892" s="61">
        <v>1859</v>
      </c>
      <c r="C1892" s="61">
        <v>285761.21364826488</v>
      </c>
      <c r="D1892" s="102">
        <v>0.31315036198147173</v>
      </c>
    </row>
    <row r="1893" spans="2:4" x14ac:dyDescent="0.25">
      <c r="B1893" s="61">
        <v>1860</v>
      </c>
      <c r="C1893" s="61">
        <v>220378.78427907405</v>
      </c>
      <c r="D1893" s="102">
        <v>0.2707387609496652</v>
      </c>
    </row>
    <row r="1894" spans="2:4" x14ac:dyDescent="0.25">
      <c r="B1894" s="61">
        <v>1861</v>
      </c>
      <c r="C1894" s="61">
        <v>198062.04890169529</v>
      </c>
      <c r="D1894" s="102">
        <v>0.26114269341390184</v>
      </c>
    </row>
    <row r="1895" spans="2:4" x14ac:dyDescent="0.25">
      <c r="B1895" s="61">
        <v>1862</v>
      </c>
      <c r="C1895" s="61">
        <v>193414.06229421869</v>
      </c>
      <c r="D1895" s="102">
        <v>0.22730542655641051</v>
      </c>
    </row>
    <row r="1896" spans="2:4" x14ac:dyDescent="0.25">
      <c r="B1896" s="61">
        <v>1863</v>
      </c>
      <c r="C1896" s="61">
        <v>85796.410170290677</v>
      </c>
      <c r="D1896" s="102">
        <v>0.16849884347107325</v>
      </c>
    </row>
    <row r="1897" spans="2:4" x14ac:dyDescent="0.25">
      <c r="B1897" s="61">
        <v>1864</v>
      </c>
      <c r="C1897" s="61">
        <v>38519.290972291841</v>
      </c>
      <c r="D1897" s="102">
        <v>0.10403262910511812</v>
      </c>
    </row>
    <row r="1898" spans="2:4" x14ac:dyDescent="0.25">
      <c r="B1898" s="61">
        <v>1865</v>
      </c>
      <c r="C1898" s="61">
        <v>273373.81207344949</v>
      </c>
      <c r="D1898" s="102">
        <v>0.30282936671763361</v>
      </c>
    </row>
    <row r="1899" spans="2:4" x14ac:dyDescent="0.25">
      <c r="B1899" s="61">
        <v>1866</v>
      </c>
      <c r="C1899" s="61">
        <v>220650.04405640089</v>
      </c>
      <c r="D1899" s="102">
        <v>0.24514389822580385</v>
      </c>
    </row>
    <row r="1900" spans="2:4" x14ac:dyDescent="0.25">
      <c r="B1900" s="61">
        <v>1867</v>
      </c>
      <c r="C1900" s="61">
        <v>253000.5431652664</v>
      </c>
      <c r="D1900" s="102">
        <v>0.27219414979223377</v>
      </c>
    </row>
    <row r="1901" spans="2:4" x14ac:dyDescent="0.25">
      <c r="B1901" s="61">
        <v>1868</v>
      </c>
      <c r="C1901" s="61">
        <v>229100.9050266603</v>
      </c>
      <c r="D1901" s="102">
        <v>0.24203709307045052</v>
      </c>
    </row>
    <row r="1902" spans="2:4" x14ac:dyDescent="0.25">
      <c r="B1902" s="61">
        <v>1869</v>
      </c>
      <c r="C1902" s="61">
        <v>300795.95189929218</v>
      </c>
      <c r="D1902" s="102">
        <v>0.29127515000435822</v>
      </c>
    </row>
    <row r="1903" spans="2:4" x14ac:dyDescent="0.25">
      <c r="B1903" s="61">
        <v>1870</v>
      </c>
      <c r="C1903" s="61">
        <v>250764.22066768026</v>
      </c>
      <c r="D1903" s="102">
        <v>0.26082978888353492</v>
      </c>
    </row>
    <row r="1904" spans="2:4" x14ac:dyDescent="0.25">
      <c r="B1904" s="61">
        <v>1871</v>
      </c>
      <c r="C1904" s="61">
        <v>479919.33145568345</v>
      </c>
      <c r="D1904" s="102">
        <v>0.41152719332781218</v>
      </c>
    </row>
    <row r="1905" spans="2:4" x14ac:dyDescent="0.25">
      <c r="B1905" s="61">
        <v>1872</v>
      </c>
      <c r="C1905" s="61">
        <v>272372.44908519776</v>
      </c>
      <c r="D1905" s="102">
        <v>0.28891902976341477</v>
      </c>
    </row>
    <row r="1906" spans="2:4" x14ac:dyDescent="0.25">
      <c r="B1906" s="61">
        <v>1873</v>
      </c>
      <c r="C1906" s="61">
        <v>500038.74402834172</v>
      </c>
      <c r="D1906" s="102">
        <v>0.38329148772230726</v>
      </c>
    </row>
    <row r="1907" spans="2:4" x14ac:dyDescent="0.25">
      <c r="B1907" s="61">
        <v>1874</v>
      </c>
      <c r="C1907" s="61">
        <v>155805.32520451437</v>
      </c>
      <c r="D1907" s="102">
        <v>0.1915202095899291</v>
      </c>
    </row>
    <row r="1908" spans="2:4" x14ac:dyDescent="0.25">
      <c r="B1908" s="61">
        <v>1875</v>
      </c>
      <c r="C1908" s="61">
        <v>635758.0298550491</v>
      </c>
      <c r="D1908" s="102">
        <v>0.52687054784168885</v>
      </c>
    </row>
    <row r="1909" spans="2:4" x14ac:dyDescent="0.25">
      <c r="B1909" s="61">
        <v>1876</v>
      </c>
      <c r="C1909" s="61">
        <v>319338.02091865672</v>
      </c>
      <c r="D1909" s="102">
        <v>0.36443116542604237</v>
      </c>
    </row>
    <row r="1910" spans="2:4" x14ac:dyDescent="0.25">
      <c r="B1910" s="61">
        <v>1877</v>
      </c>
      <c r="C1910" s="61">
        <v>394328.3072602154</v>
      </c>
      <c r="D1910" s="102">
        <v>0.39230270760010577</v>
      </c>
    </row>
    <row r="1911" spans="2:4" x14ac:dyDescent="0.25">
      <c r="B1911" s="61">
        <v>1878</v>
      </c>
      <c r="C1911" s="61">
        <v>251806.14091034862</v>
      </c>
      <c r="D1911" s="102">
        <v>0.26989624609095397</v>
      </c>
    </row>
    <row r="1912" spans="2:4" x14ac:dyDescent="0.25">
      <c r="B1912" s="61">
        <v>1879</v>
      </c>
      <c r="C1912" s="61">
        <v>300826.49280433776</v>
      </c>
      <c r="D1912" s="102">
        <v>0.32547508899810751</v>
      </c>
    </row>
    <row r="1913" spans="2:4" x14ac:dyDescent="0.25">
      <c r="B1913" s="61">
        <v>1880</v>
      </c>
      <c r="C1913" s="61">
        <v>99374.920655178197</v>
      </c>
      <c r="D1913" s="102">
        <v>0.13401774494918084</v>
      </c>
    </row>
    <row r="1914" spans="2:4" x14ac:dyDescent="0.25">
      <c r="B1914" s="61">
        <v>1881</v>
      </c>
      <c r="C1914" s="61">
        <v>320935.44613354327</v>
      </c>
      <c r="D1914" s="102">
        <v>0.35932215158115244</v>
      </c>
    </row>
    <row r="1915" spans="2:4" x14ac:dyDescent="0.25">
      <c r="B1915" s="61">
        <v>1882</v>
      </c>
      <c r="C1915" s="61">
        <v>230458.61088129133</v>
      </c>
      <c r="D1915" s="102">
        <v>0.20198656111502977</v>
      </c>
    </row>
    <row r="1916" spans="2:4" x14ac:dyDescent="0.25">
      <c r="B1916" s="61">
        <v>1883</v>
      </c>
      <c r="C1916" s="61">
        <v>221629.69814885769</v>
      </c>
      <c r="D1916" s="102">
        <v>0.23667329806489579</v>
      </c>
    </row>
    <row r="1917" spans="2:4" x14ac:dyDescent="0.25">
      <c r="B1917" s="61">
        <v>1884</v>
      </c>
      <c r="C1917" s="61">
        <v>374890.92406243086</v>
      </c>
      <c r="D1917" s="102">
        <v>0.33761444463850276</v>
      </c>
    </row>
    <row r="1918" spans="2:4" x14ac:dyDescent="0.25">
      <c r="B1918" s="61">
        <v>1885</v>
      </c>
      <c r="C1918" s="61">
        <v>330581.51088266436</v>
      </c>
      <c r="D1918" s="102">
        <v>0.34797581635995267</v>
      </c>
    </row>
    <row r="1919" spans="2:4" x14ac:dyDescent="0.25">
      <c r="B1919" s="61">
        <v>1886</v>
      </c>
      <c r="C1919" s="61">
        <v>323923.01914627186</v>
      </c>
      <c r="D1919" s="102">
        <v>0.32020258024526482</v>
      </c>
    </row>
    <row r="1920" spans="2:4" x14ac:dyDescent="0.25">
      <c r="B1920" s="61">
        <v>1887</v>
      </c>
      <c r="C1920" s="61">
        <v>291259.26182046358</v>
      </c>
      <c r="D1920" s="102">
        <v>0.27164465255836845</v>
      </c>
    </row>
    <row r="1921" spans="2:4" x14ac:dyDescent="0.25">
      <c r="B1921" s="61">
        <v>1888</v>
      </c>
      <c r="C1921" s="61">
        <v>161005.70890484273</v>
      </c>
      <c r="D1921" s="102">
        <v>0.19839892701733719</v>
      </c>
    </row>
    <row r="1922" spans="2:4" x14ac:dyDescent="0.25">
      <c r="B1922" s="61">
        <v>1889</v>
      </c>
      <c r="C1922" s="61">
        <v>184450.62947033008</v>
      </c>
      <c r="D1922" s="102">
        <v>0.19643610517080079</v>
      </c>
    </row>
    <row r="1923" spans="2:4" x14ac:dyDescent="0.25">
      <c r="B1923" s="61">
        <v>1890</v>
      </c>
      <c r="C1923" s="61">
        <v>419101.11494552495</v>
      </c>
      <c r="D1923" s="102">
        <v>0.36287892119246878</v>
      </c>
    </row>
    <row r="1924" spans="2:4" x14ac:dyDescent="0.25">
      <c r="B1924" s="61">
        <v>1891</v>
      </c>
      <c r="C1924" s="61">
        <v>140973.68256188737</v>
      </c>
      <c r="D1924" s="102">
        <v>0.17452918052268918</v>
      </c>
    </row>
    <row r="1925" spans="2:4" x14ac:dyDescent="0.25">
      <c r="B1925" s="61">
        <v>1892</v>
      </c>
      <c r="C1925" s="61">
        <v>292353.92249261087</v>
      </c>
      <c r="D1925" s="102">
        <v>0.26348511751717374</v>
      </c>
    </row>
    <row r="1926" spans="2:4" x14ac:dyDescent="0.25">
      <c r="B1926" s="61">
        <v>1893</v>
      </c>
      <c r="C1926" s="61">
        <v>287422.26397833414</v>
      </c>
      <c r="D1926" s="102">
        <v>0.27215920036355756</v>
      </c>
    </row>
    <row r="1927" spans="2:4" x14ac:dyDescent="0.25">
      <c r="B1927" s="61">
        <v>1894</v>
      </c>
      <c r="C1927" s="61">
        <v>432010.82887211011</v>
      </c>
      <c r="D1927" s="102">
        <v>0.39569476741300869</v>
      </c>
    </row>
    <row r="1928" spans="2:4" x14ac:dyDescent="0.25">
      <c r="B1928" s="61">
        <v>1895</v>
      </c>
      <c r="C1928" s="61">
        <v>512065.31771160138</v>
      </c>
      <c r="D1928" s="102">
        <v>0.49184216969340855</v>
      </c>
    </row>
    <row r="1929" spans="2:4" x14ac:dyDescent="0.25">
      <c r="B1929" s="61">
        <v>1896</v>
      </c>
      <c r="C1929" s="61">
        <v>117461.6376245133</v>
      </c>
      <c r="D1929" s="102">
        <v>0.17798142143457341</v>
      </c>
    </row>
    <row r="1930" spans="2:4" x14ac:dyDescent="0.25">
      <c r="B1930" s="61">
        <v>1897</v>
      </c>
      <c r="C1930" s="61">
        <v>138964.76199613587</v>
      </c>
      <c r="D1930" s="102">
        <v>0.15654457634911179</v>
      </c>
    </row>
    <row r="1931" spans="2:4" x14ac:dyDescent="0.25">
      <c r="B1931" s="61">
        <v>1898</v>
      </c>
      <c r="C1931" s="61">
        <v>132316.02646412782</v>
      </c>
      <c r="D1931" s="102">
        <v>0.17526015878937473</v>
      </c>
    </row>
    <row r="1932" spans="2:4" x14ac:dyDescent="0.25">
      <c r="B1932" s="61">
        <v>1899</v>
      </c>
      <c r="C1932" s="61">
        <v>307891.79306508868</v>
      </c>
      <c r="D1932" s="102">
        <v>0.29249642527863151</v>
      </c>
    </row>
    <row r="1933" spans="2:4" x14ac:dyDescent="0.25">
      <c r="B1933" s="61">
        <v>1900</v>
      </c>
      <c r="C1933" s="61">
        <v>397042.65661775903</v>
      </c>
      <c r="D1933" s="102">
        <v>0.35459366579831442</v>
      </c>
    </row>
    <row r="1934" spans="2:4" x14ac:dyDescent="0.25">
      <c r="B1934" s="61">
        <v>1901</v>
      </c>
      <c r="C1934" s="61">
        <v>133227.29645027505</v>
      </c>
      <c r="D1934" s="102">
        <v>0.17659931080153846</v>
      </c>
    </row>
    <row r="1935" spans="2:4" x14ac:dyDescent="0.25">
      <c r="B1935" s="61">
        <v>1902</v>
      </c>
      <c r="C1935" s="61">
        <v>290056.21180886554</v>
      </c>
      <c r="D1935" s="102">
        <v>0.25232712827005876</v>
      </c>
    </row>
    <row r="1936" spans="2:4" x14ac:dyDescent="0.25">
      <c r="B1936" s="61">
        <v>1903</v>
      </c>
      <c r="C1936" s="61">
        <v>75262.556769571209</v>
      </c>
      <c r="D1936" s="102">
        <v>0.11988340383256468</v>
      </c>
    </row>
    <row r="1937" spans="2:4" x14ac:dyDescent="0.25">
      <c r="B1937" s="61">
        <v>1904</v>
      </c>
      <c r="C1937" s="61">
        <v>131174.06837198965</v>
      </c>
      <c r="D1937" s="102">
        <v>0.20211216068597571</v>
      </c>
    </row>
    <row r="1938" spans="2:4" x14ac:dyDescent="0.25">
      <c r="B1938" s="61">
        <v>1905</v>
      </c>
      <c r="C1938" s="61">
        <v>165173.91192516638</v>
      </c>
      <c r="D1938" s="102">
        <v>0.18428739822081752</v>
      </c>
    </row>
    <row r="1939" spans="2:4" x14ac:dyDescent="0.25">
      <c r="B1939" s="61">
        <v>1906</v>
      </c>
      <c r="C1939" s="61">
        <v>362238.94494130276</v>
      </c>
      <c r="D1939" s="102">
        <v>0.28650744319933885</v>
      </c>
    </row>
    <row r="1940" spans="2:4" x14ac:dyDescent="0.25">
      <c r="B1940" s="61">
        <v>1907</v>
      </c>
      <c r="C1940" s="61">
        <v>238261.75102895498</v>
      </c>
      <c r="D1940" s="102">
        <v>0.23717576294507525</v>
      </c>
    </row>
    <row r="1941" spans="2:4" x14ac:dyDescent="0.25">
      <c r="B1941" s="61">
        <v>1908</v>
      </c>
      <c r="C1941" s="61">
        <v>209622.11695194943</v>
      </c>
      <c r="D1941" s="102">
        <v>0.23133540117967044</v>
      </c>
    </row>
    <row r="1942" spans="2:4" x14ac:dyDescent="0.25">
      <c r="B1942" s="61">
        <v>1909</v>
      </c>
      <c r="C1942" s="61">
        <v>357775.74632783281</v>
      </c>
      <c r="D1942" s="102">
        <v>0.36187746214670735</v>
      </c>
    </row>
    <row r="1943" spans="2:4" x14ac:dyDescent="0.25">
      <c r="B1943" s="61">
        <v>1910</v>
      </c>
      <c r="C1943" s="61">
        <v>204902.48927831533</v>
      </c>
      <c r="D1943" s="102">
        <v>0.20836849679184999</v>
      </c>
    </row>
    <row r="1944" spans="2:4" x14ac:dyDescent="0.25">
      <c r="B1944" s="61">
        <v>1911</v>
      </c>
      <c r="C1944" s="61">
        <v>146550.96046340879</v>
      </c>
      <c r="D1944" s="102">
        <v>0.16027584169296283</v>
      </c>
    </row>
    <row r="1945" spans="2:4" x14ac:dyDescent="0.25">
      <c r="B1945" s="61">
        <v>1912</v>
      </c>
      <c r="C1945" s="61">
        <v>332002.95765279874</v>
      </c>
      <c r="D1945" s="102">
        <v>0.27443352146470534</v>
      </c>
    </row>
    <row r="1946" spans="2:4" x14ac:dyDescent="0.25">
      <c r="B1946" s="61">
        <v>1913</v>
      </c>
      <c r="C1946" s="61">
        <v>349328.52861529926</v>
      </c>
      <c r="D1946" s="102">
        <v>0.315306457236604</v>
      </c>
    </row>
    <row r="1947" spans="2:4" x14ac:dyDescent="0.25">
      <c r="B1947" s="61">
        <v>1914</v>
      </c>
      <c r="C1947" s="61">
        <v>498639.53312931687</v>
      </c>
      <c r="D1947" s="102">
        <v>0.44116724464643053</v>
      </c>
    </row>
    <row r="1948" spans="2:4" x14ac:dyDescent="0.25">
      <c r="B1948" s="61">
        <v>1915</v>
      </c>
      <c r="C1948" s="61">
        <v>300191.3092319906</v>
      </c>
      <c r="D1948" s="102">
        <v>0.2782925886628862</v>
      </c>
    </row>
    <row r="1949" spans="2:4" x14ac:dyDescent="0.25">
      <c r="B1949" s="61">
        <v>1916</v>
      </c>
      <c r="C1949" s="61">
        <v>276421.90495695581</v>
      </c>
      <c r="D1949" s="102">
        <v>0.23893344918204673</v>
      </c>
    </row>
    <row r="1950" spans="2:4" x14ac:dyDescent="0.25">
      <c r="B1950" s="61">
        <v>1917</v>
      </c>
      <c r="C1950" s="61">
        <v>66347.999513833201</v>
      </c>
      <c r="D1950" s="102">
        <v>0.12290006524747032</v>
      </c>
    </row>
    <row r="1951" spans="2:4" x14ac:dyDescent="0.25">
      <c r="B1951" s="61">
        <v>1918</v>
      </c>
      <c r="C1951" s="61">
        <v>315776.54982174968</v>
      </c>
      <c r="D1951" s="102">
        <v>0.35713776416984033</v>
      </c>
    </row>
    <row r="1952" spans="2:4" x14ac:dyDescent="0.25">
      <c r="B1952" s="61">
        <v>1919</v>
      </c>
      <c r="C1952" s="61">
        <v>172041.53144431522</v>
      </c>
      <c r="D1952" s="102">
        <v>0.17852551271224848</v>
      </c>
    </row>
    <row r="1953" spans="2:4" x14ac:dyDescent="0.25">
      <c r="B1953" s="61">
        <v>1920</v>
      </c>
      <c r="C1953" s="61">
        <v>115449.70531347493</v>
      </c>
      <c r="D1953" s="102">
        <v>0.14991753614384806</v>
      </c>
    </row>
    <row r="1954" spans="2:4" x14ac:dyDescent="0.25">
      <c r="B1954" s="61">
        <v>1921</v>
      </c>
      <c r="C1954" s="61">
        <v>490015.1447151904</v>
      </c>
      <c r="D1954" s="102">
        <v>0.34630919693152284</v>
      </c>
    </row>
    <row r="1955" spans="2:4" x14ac:dyDescent="0.25">
      <c r="B1955" s="61">
        <v>1922</v>
      </c>
      <c r="C1955" s="61">
        <v>156838.67215605208</v>
      </c>
      <c r="D1955" s="102">
        <v>0.17577507307566487</v>
      </c>
    </row>
    <row r="1956" spans="2:4" x14ac:dyDescent="0.25">
      <c r="B1956" s="61">
        <v>1923</v>
      </c>
      <c r="C1956" s="61">
        <v>-78714.579993335705</v>
      </c>
      <c r="D1956" s="102">
        <v>-3.2867535932104897E-2</v>
      </c>
    </row>
    <row r="1957" spans="2:4" x14ac:dyDescent="0.25">
      <c r="B1957" s="61">
        <v>1924</v>
      </c>
      <c r="C1957" s="61">
        <v>108503.93699133955</v>
      </c>
      <c r="D1957" s="102">
        <v>0.17301324267180029</v>
      </c>
    </row>
    <row r="1958" spans="2:4" x14ac:dyDescent="0.25">
      <c r="B1958" s="61">
        <v>1925</v>
      </c>
      <c r="C1958" s="61">
        <v>184638.85724412126</v>
      </c>
      <c r="D1958" s="102">
        <v>0.25857560980426242</v>
      </c>
    </row>
    <row r="1959" spans="2:4" x14ac:dyDescent="0.25">
      <c r="B1959" s="61">
        <v>1926</v>
      </c>
      <c r="C1959" s="61">
        <v>395341.33964202926</v>
      </c>
      <c r="D1959" s="102">
        <v>0.31860198307591747</v>
      </c>
    </row>
    <row r="1960" spans="2:4" x14ac:dyDescent="0.25">
      <c r="B1960" s="61">
        <v>1927</v>
      </c>
      <c r="C1960" s="61">
        <v>253180.51426349231</v>
      </c>
      <c r="D1960" s="102">
        <v>0.22952190991456556</v>
      </c>
    </row>
    <row r="1961" spans="2:4" x14ac:dyDescent="0.25">
      <c r="B1961" s="61">
        <v>1928</v>
      </c>
      <c r="C1961" s="61">
        <v>287269.75817712664</v>
      </c>
      <c r="D1961" s="102">
        <v>0.27511559261795449</v>
      </c>
    </row>
    <row r="1962" spans="2:4" x14ac:dyDescent="0.25">
      <c r="B1962" s="61">
        <v>1929</v>
      </c>
      <c r="C1962" s="61">
        <v>309189.66445799661</v>
      </c>
      <c r="D1962" s="102">
        <v>0.33686871134439</v>
      </c>
    </row>
    <row r="1963" spans="2:4" x14ac:dyDescent="0.25">
      <c r="B1963" s="61">
        <v>1930</v>
      </c>
      <c r="C1963" s="61">
        <v>343463.34716400842</v>
      </c>
      <c r="D1963" s="102">
        <v>0.2858811039232394</v>
      </c>
    </row>
    <row r="1964" spans="2:4" x14ac:dyDescent="0.25">
      <c r="B1964" s="61">
        <v>1931</v>
      </c>
      <c r="C1964" s="61">
        <v>361237.3817084895</v>
      </c>
      <c r="D1964" s="102">
        <v>0.3276626473100106</v>
      </c>
    </row>
    <row r="1965" spans="2:4" x14ac:dyDescent="0.25">
      <c r="B1965" s="61">
        <v>1932</v>
      </c>
      <c r="C1965" s="61">
        <v>288386.11428136192</v>
      </c>
      <c r="D1965" s="102">
        <v>0.26212261175990981</v>
      </c>
    </row>
    <row r="1966" spans="2:4" x14ac:dyDescent="0.25">
      <c r="B1966" s="61">
        <v>1933</v>
      </c>
      <c r="C1966" s="61">
        <v>257650.89777707576</v>
      </c>
      <c r="D1966" s="102">
        <v>0.28111922236813935</v>
      </c>
    </row>
    <row r="1967" spans="2:4" x14ac:dyDescent="0.25">
      <c r="B1967" s="61">
        <v>1934</v>
      </c>
      <c r="C1967" s="61">
        <v>425072.48874264897</v>
      </c>
      <c r="D1967" s="102">
        <v>0.35314133535149073</v>
      </c>
    </row>
    <row r="1968" spans="2:4" x14ac:dyDescent="0.25">
      <c r="B1968" s="61">
        <v>1935</v>
      </c>
      <c r="C1968" s="61">
        <v>162643.31550782733</v>
      </c>
      <c r="D1968" s="102">
        <v>0.23663913225880262</v>
      </c>
    </row>
    <row r="1969" spans="2:4" x14ac:dyDescent="0.25">
      <c r="B1969" s="61">
        <v>1936</v>
      </c>
      <c r="C1969" s="61">
        <v>86064.259623398539</v>
      </c>
      <c r="D1969" s="102">
        <v>0.15527690401340744</v>
      </c>
    </row>
    <row r="1970" spans="2:4" x14ac:dyDescent="0.25">
      <c r="B1970" s="61">
        <v>1937</v>
      </c>
      <c r="C1970" s="61">
        <v>435651.25070063968</v>
      </c>
      <c r="D1970" s="102">
        <v>0.40057086804294073</v>
      </c>
    </row>
    <row r="1971" spans="2:4" x14ac:dyDescent="0.25">
      <c r="B1971" s="61">
        <v>1938</v>
      </c>
      <c r="C1971" s="61">
        <v>265286.74240156647</v>
      </c>
      <c r="D1971" s="102">
        <v>0.21719070821378539</v>
      </c>
    </row>
    <row r="1972" spans="2:4" x14ac:dyDescent="0.25">
      <c r="B1972" s="61">
        <v>1939</v>
      </c>
      <c r="C1972" s="61">
        <v>367608.35333733389</v>
      </c>
      <c r="D1972" s="102">
        <v>0.304385105787496</v>
      </c>
    </row>
    <row r="1973" spans="2:4" x14ac:dyDescent="0.25">
      <c r="B1973" s="61">
        <v>1940</v>
      </c>
      <c r="C1973" s="61">
        <v>209310.55311970541</v>
      </c>
      <c r="D1973" s="102">
        <v>0.2162892691572722</v>
      </c>
    </row>
    <row r="1974" spans="2:4" x14ac:dyDescent="0.25">
      <c r="B1974" s="61">
        <v>1941</v>
      </c>
      <c r="C1974" s="61">
        <v>327842.58804051508</v>
      </c>
      <c r="D1974" s="102">
        <v>0.37598142356933573</v>
      </c>
    </row>
    <row r="1975" spans="2:4" x14ac:dyDescent="0.25">
      <c r="B1975" s="61">
        <v>1942</v>
      </c>
      <c r="C1975" s="61">
        <v>285449.5749000957</v>
      </c>
      <c r="D1975" s="102">
        <v>0.30456161998708597</v>
      </c>
    </row>
    <row r="1976" spans="2:4" x14ac:dyDescent="0.25">
      <c r="B1976" s="61">
        <v>1943</v>
      </c>
      <c r="C1976" s="61">
        <v>488277.06798295223</v>
      </c>
      <c r="D1976" s="102">
        <v>0.42730304559883558</v>
      </c>
    </row>
    <row r="1977" spans="2:4" x14ac:dyDescent="0.25">
      <c r="B1977" s="61">
        <v>1944</v>
      </c>
      <c r="C1977" s="61">
        <v>187306.22537172365</v>
      </c>
      <c r="D1977" s="102">
        <v>0.17869991305138222</v>
      </c>
    </row>
    <row r="1978" spans="2:4" x14ac:dyDescent="0.25">
      <c r="B1978" s="61">
        <v>1945</v>
      </c>
      <c r="C1978" s="61">
        <v>171205.98089773662</v>
      </c>
      <c r="D1978" s="102">
        <v>0.2071568941420332</v>
      </c>
    </row>
    <row r="1979" spans="2:4" x14ac:dyDescent="0.25">
      <c r="B1979" s="61">
        <v>1946</v>
      </c>
      <c r="C1979" s="61">
        <v>29736.743475037452</v>
      </c>
      <c r="D1979" s="102">
        <v>9.4806149576428078E-2</v>
      </c>
    </row>
    <row r="1980" spans="2:4" x14ac:dyDescent="0.25">
      <c r="B1980" s="61">
        <v>1947</v>
      </c>
      <c r="C1980" s="61">
        <v>240167.31855875463</v>
      </c>
      <c r="D1980" s="102">
        <v>0.23145198154845836</v>
      </c>
    </row>
    <row r="1981" spans="2:4" x14ac:dyDescent="0.25">
      <c r="B1981" s="61">
        <v>1948</v>
      </c>
      <c r="C1981" s="61">
        <v>333612.75408727338</v>
      </c>
      <c r="D1981" s="102">
        <v>0.32792240540653839</v>
      </c>
    </row>
    <row r="1982" spans="2:4" x14ac:dyDescent="0.25">
      <c r="B1982" s="61">
        <v>1949</v>
      </c>
      <c r="C1982" s="61">
        <v>268115.83105737623</v>
      </c>
      <c r="D1982" s="102">
        <v>0.2807089683859505</v>
      </c>
    </row>
    <row r="1983" spans="2:4" x14ac:dyDescent="0.25">
      <c r="B1983" s="61">
        <v>1950</v>
      </c>
      <c r="C1983" s="61">
        <v>268203.42693687836</v>
      </c>
      <c r="D1983" s="102">
        <v>0.23336529854024546</v>
      </c>
    </row>
    <row r="1984" spans="2:4" x14ac:dyDescent="0.25">
      <c r="B1984" s="61">
        <v>1951</v>
      </c>
      <c r="C1984" s="61">
        <v>126270.61347475532</v>
      </c>
      <c r="D1984" s="102">
        <v>0.14567281213880712</v>
      </c>
    </row>
    <row r="1985" spans="2:4" x14ac:dyDescent="0.25">
      <c r="B1985" s="61">
        <v>1952</v>
      </c>
      <c r="C1985" s="61">
        <v>259275.07534001814</v>
      </c>
      <c r="D1985" s="102">
        <v>0.25015756765561692</v>
      </c>
    </row>
    <row r="1986" spans="2:4" x14ac:dyDescent="0.25">
      <c r="B1986" s="61">
        <v>1953</v>
      </c>
      <c r="C1986" s="61">
        <v>468174.86376856454</v>
      </c>
      <c r="D1986" s="102">
        <v>0.37399403578999046</v>
      </c>
    </row>
    <row r="1987" spans="2:4" x14ac:dyDescent="0.25">
      <c r="B1987" s="61">
        <v>1954</v>
      </c>
      <c r="C1987" s="61">
        <v>351486.19684076251</v>
      </c>
      <c r="D1987" s="102">
        <v>0.34347684954949376</v>
      </c>
    </row>
    <row r="1988" spans="2:4" x14ac:dyDescent="0.25">
      <c r="B1988" s="61">
        <v>1955</v>
      </c>
      <c r="C1988" s="61">
        <v>242880.78426572541</v>
      </c>
      <c r="D1988" s="102">
        <v>0.21357336746708833</v>
      </c>
    </row>
    <row r="1989" spans="2:4" x14ac:dyDescent="0.25">
      <c r="B1989" s="61">
        <v>1956</v>
      </c>
      <c r="C1989" s="61">
        <v>312308.83343057288</v>
      </c>
      <c r="D1989" s="102">
        <v>0.28611737943112692</v>
      </c>
    </row>
    <row r="1990" spans="2:4" x14ac:dyDescent="0.25">
      <c r="B1990" s="61">
        <v>1957</v>
      </c>
      <c r="C1990" s="61">
        <v>358490.68191277562</v>
      </c>
      <c r="D1990" s="102">
        <v>0.36076011445643963</v>
      </c>
    </row>
    <row r="1991" spans="2:4" x14ac:dyDescent="0.25">
      <c r="B1991" s="61">
        <v>1958</v>
      </c>
      <c r="C1991" s="61">
        <v>460346.45778099482</v>
      </c>
      <c r="D1991" s="102">
        <v>0.40505455805028401</v>
      </c>
    </row>
    <row r="1992" spans="2:4" x14ac:dyDescent="0.25">
      <c r="B1992" s="61">
        <v>1959</v>
      </c>
      <c r="C1992" s="61">
        <v>107234.12135205796</v>
      </c>
      <c r="D1992" s="102">
        <v>0.14730114186514776</v>
      </c>
    </row>
    <row r="1993" spans="2:4" x14ac:dyDescent="0.25">
      <c r="B1993" s="61">
        <v>1960</v>
      </c>
      <c r="C1993" s="61">
        <v>267804.13459849148</v>
      </c>
      <c r="D1993" s="102">
        <v>0.26127054817808437</v>
      </c>
    </row>
    <row r="1994" spans="2:4" x14ac:dyDescent="0.25">
      <c r="B1994" s="61">
        <v>1961</v>
      </c>
      <c r="C1994" s="61">
        <v>103113.94173140824</v>
      </c>
      <c r="D1994" s="102">
        <v>0.16329708734142079</v>
      </c>
    </row>
    <row r="1995" spans="2:4" x14ac:dyDescent="0.25">
      <c r="B1995" s="61">
        <v>1962</v>
      </c>
      <c r="C1995" s="61">
        <v>89167.394342050538</v>
      </c>
      <c r="D1995" s="102">
        <v>0.18417006797903945</v>
      </c>
    </row>
    <row r="1996" spans="2:4" x14ac:dyDescent="0.25">
      <c r="B1996" s="61">
        <v>1963</v>
      </c>
      <c r="C1996" s="61">
        <v>284189.96771652868</v>
      </c>
      <c r="D1996" s="102">
        <v>0.31520094217644856</v>
      </c>
    </row>
    <row r="1997" spans="2:4" x14ac:dyDescent="0.25">
      <c r="B1997" s="61">
        <v>1964</v>
      </c>
      <c r="C1997" s="61">
        <v>232881.6184378789</v>
      </c>
      <c r="D1997" s="102">
        <v>0.23163272620059039</v>
      </c>
    </row>
    <row r="1998" spans="2:4" x14ac:dyDescent="0.25">
      <c r="B1998" s="61">
        <v>1965</v>
      </c>
      <c r="C1998" s="61">
        <v>394204.59852041153</v>
      </c>
      <c r="D1998" s="102">
        <v>0.38294789067362767</v>
      </c>
    </row>
    <row r="1999" spans="2:4" x14ac:dyDescent="0.25">
      <c r="B1999" s="61">
        <v>1966</v>
      </c>
      <c r="C1999" s="61">
        <v>379512.86522154603</v>
      </c>
      <c r="D1999" s="102">
        <v>0.32283058416717325</v>
      </c>
    </row>
    <row r="2000" spans="2:4" x14ac:dyDescent="0.25">
      <c r="B2000" s="61">
        <v>1967</v>
      </c>
      <c r="C2000" s="61">
        <v>174633.12928360736</v>
      </c>
      <c r="D2000" s="102">
        <v>0.23166831726435988</v>
      </c>
    </row>
    <row r="2001" spans="2:4" x14ac:dyDescent="0.25">
      <c r="B2001" s="61">
        <v>1968</v>
      </c>
      <c r="C2001" s="61">
        <v>278406.31505265669</v>
      </c>
      <c r="D2001" s="102">
        <v>0.29156260457998817</v>
      </c>
    </row>
    <row r="2002" spans="2:4" x14ac:dyDescent="0.25">
      <c r="B2002" s="61">
        <v>1969</v>
      </c>
      <c r="C2002" s="61">
        <v>401426.03624520102</v>
      </c>
      <c r="D2002" s="102">
        <v>0.42182207627548629</v>
      </c>
    </row>
    <row r="2003" spans="2:4" x14ac:dyDescent="0.25">
      <c r="B2003" s="61">
        <v>1970</v>
      </c>
      <c r="C2003" s="61">
        <v>225094.85098747199</v>
      </c>
      <c r="D2003" s="102">
        <v>0.22698243335114188</v>
      </c>
    </row>
    <row r="2004" spans="2:4" x14ac:dyDescent="0.25">
      <c r="B2004" s="61">
        <v>1971</v>
      </c>
      <c r="C2004" s="61">
        <v>346162.8668971489</v>
      </c>
      <c r="D2004" s="102">
        <v>0.32303634791429414</v>
      </c>
    </row>
    <row r="2005" spans="2:4" x14ac:dyDescent="0.25">
      <c r="B2005" s="61">
        <v>1972</v>
      </c>
      <c r="C2005" s="61">
        <v>133015.33911713702</v>
      </c>
      <c r="D2005" s="102">
        <v>0.16950177514256803</v>
      </c>
    </row>
    <row r="2006" spans="2:4" x14ac:dyDescent="0.25">
      <c r="B2006" s="61">
        <v>1973</v>
      </c>
      <c r="C2006" s="61">
        <v>157859.26687751507</v>
      </c>
      <c r="D2006" s="102">
        <v>0.16369150813007782</v>
      </c>
    </row>
    <row r="2007" spans="2:4" x14ac:dyDescent="0.25">
      <c r="B2007" s="61">
        <v>1974</v>
      </c>
      <c r="C2007" s="61">
        <v>112925.18241097085</v>
      </c>
      <c r="D2007" s="102">
        <v>0.14933398818906629</v>
      </c>
    </row>
    <row r="2008" spans="2:4" x14ac:dyDescent="0.25">
      <c r="B2008" s="61">
        <v>1975</v>
      </c>
      <c r="C2008" s="61">
        <v>265969.56348529796</v>
      </c>
      <c r="D2008" s="102">
        <v>0.2878022927954702</v>
      </c>
    </row>
    <row r="2009" spans="2:4" x14ac:dyDescent="0.25">
      <c r="B2009" s="61">
        <v>1976</v>
      </c>
      <c r="C2009" s="61">
        <v>62175.966063537518</v>
      </c>
      <c r="D2009" s="102">
        <v>0.10317210264061605</v>
      </c>
    </row>
    <row r="2010" spans="2:4" x14ac:dyDescent="0.25">
      <c r="B2010" s="61">
        <v>1977</v>
      </c>
      <c r="C2010" s="61">
        <v>328408.85035411175</v>
      </c>
      <c r="D2010" s="102">
        <v>0.29130459224505345</v>
      </c>
    </row>
    <row r="2011" spans="2:4" x14ac:dyDescent="0.25">
      <c r="B2011" s="61">
        <v>1978</v>
      </c>
      <c r="C2011" s="61">
        <v>464624.0057462689</v>
      </c>
      <c r="D2011" s="102">
        <v>0.39891091237303811</v>
      </c>
    </row>
    <row r="2012" spans="2:4" x14ac:dyDescent="0.25">
      <c r="B2012" s="61">
        <v>1979</v>
      </c>
      <c r="C2012" s="61">
        <v>299954.35068793478</v>
      </c>
      <c r="D2012" s="102">
        <v>0.26266348963046049</v>
      </c>
    </row>
    <row r="2013" spans="2:4" x14ac:dyDescent="0.25">
      <c r="B2013" s="61">
        <v>1980</v>
      </c>
      <c r="C2013" s="61">
        <v>-57174.830168387736</v>
      </c>
      <c r="D2013" s="102">
        <v>1.3365233803621646E-2</v>
      </c>
    </row>
    <row r="2014" spans="2:4" x14ac:dyDescent="0.25">
      <c r="B2014" s="61">
        <v>1981</v>
      </c>
      <c r="C2014" s="61">
        <v>134216.6795037635</v>
      </c>
      <c r="D2014" s="102">
        <v>0.18190367354899339</v>
      </c>
    </row>
    <row r="2015" spans="2:4" x14ac:dyDescent="0.25">
      <c r="B2015" s="61">
        <v>1982</v>
      </c>
      <c r="C2015" s="61">
        <v>165239.41894063738</v>
      </c>
      <c r="D2015" s="102">
        <v>0.19416573520502722</v>
      </c>
    </row>
    <row r="2016" spans="2:4" x14ac:dyDescent="0.25">
      <c r="B2016" s="61">
        <v>1983</v>
      </c>
      <c r="C2016" s="61">
        <v>251252.77518200607</v>
      </c>
      <c r="D2016" s="102">
        <v>0.26570827777612527</v>
      </c>
    </row>
    <row r="2017" spans="2:4" x14ac:dyDescent="0.25">
      <c r="B2017" s="61">
        <v>1984</v>
      </c>
      <c r="C2017" s="61">
        <v>424766.31936272327</v>
      </c>
      <c r="D2017" s="102">
        <v>0.35054298366520786</v>
      </c>
    </row>
    <row r="2018" spans="2:4" x14ac:dyDescent="0.25">
      <c r="B2018" s="61">
        <v>1985</v>
      </c>
      <c r="C2018" s="61">
        <v>240353.68847037794</v>
      </c>
      <c r="D2018" s="102">
        <v>0.24104652963603979</v>
      </c>
    </row>
    <row r="2019" spans="2:4" x14ac:dyDescent="0.25">
      <c r="B2019" s="61">
        <v>1986</v>
      </c>
      <c r="C2019" s="61">
        <v>311544.62624832324</v>
      </c>
      <c r="D2019" s="102">
        <v>0.27626280617836585</v>
      </c>
    </row>
    <row r="2020" spans="2:4" x14ac:dyDescent="0.25">
      <c r="B2020" s="61">
        <v>1987</v>
      </c>
      <c r="C2020" s="61">
        <v>152085.01329514367</v>
      </c>
      <c r="D2020" s="102">
        <v>0.17791219411076242</v>
      </c>
    </row>
    <row r="2021" spans="2:4" x14ac:dyDescent="0.25">
      <c r="B2021" s="61">
        <v>1988</v>
      </c>
      <c r="C2021" s="61">
        <v>226870.13089658052</v>
      </c>
      <c r="D2021" s="102">
        <v>0.30678482060903089</v>
      </c>
    </row>
    <row r="2022" spans="2:4" x14ac:dyDescent="0.25">
      <c r="B2022" s="61">
        <v>1989</v>
      </c>
      <c r="C2022" s="61">
        <v>224857.04397360084</v>
      </c>
      <c r="D2022" s="102">
        <v>0.24797945486383899</v>
      </c>
    </row>
    <row r="2023" spans="2:4" x14ac:dyDescent="0.25">
      <c r="B2023" s="61">
        <v>1990</v>
      </c>
      <c r="C2023" s="61">
        <v>403394.47626369249</v>
      </c>
      <c r="D2023" s="102">
        <v>0.29516686914205525</v>
      </c>
    </row>
    <row r="2024" spans="2:4" x14ac:dyDescent="0.25">
      <c r="B2024" s="61">
        <v>1991</v>
      </c>
      <c r="C2024" s="61">
        <v>328221.24232601025</v>
      </c>
      <c r="D2024" s="102">
        <v>0.29644276696482019</v>
      </c>
    </row>
    <row r="2025" spans="2:4" x14ac:dyDescent="0.25">
      <c r="B2025" s="61">
        <v>1992</v>
      </c>
      <c r="C2025" s="61">
        <v>148848.46980099089</v>
      </c>
      <c r="D2025" s="102">
        <v>0.19326121812615793</v>
      </c>
    </row>
    <row r="2026" spans="2:4" x14ac:dyDescent="0.25">
      <c r="B2026" s="61">
        <v>1993</v>
      </c>
      <c r="C2026" s="61">
        <v>403024.11667812977</v>
      </c>
      <c r="D2026" s="102">
        <v>0.38829438502316793</v>
      </c>
    </row>
    <row r="2027" spans="2:4" x14ac:dyDescent="0.25">
      <c r="B2027" s="61">
        <v>1994</v>
      </c>
      <c r="C2027" s="61">
        <v>398260.72279428027</v>
      </c>
      <c r="D2027" s="102">
        <v>0.36254194222228064</v>
      </c>
    </row>
    <row r="2028" spans="2:4" x14ac:dyDescent="0.25">
      <c r="B2028" s="61">
        <v>1995</v>
      </c>
      <c r="C2028" s="61">
        <v>154800.44475810858</v>
      </c>
      <c r="D2028" s="102">
        <v>0.1973106569074583</v>
      </c>
    </row>
    <row r="2029" spans="2:4" x14ac:dyDescent="0.25">
      <c r="B2029" s="61">
        <v>1996</v>
      </c>
      <c r="C2029" s="61">
        <v>605775.00092499924</v>
      </c>
      <c r="D2029" s="102">
        <v>0.55538013159648481</v>
      </c>
    </row>
    <row r="2030" spans="2:4" x14ac:dyDescent="0.25">
      <c r="B2030" s="61">
        <v>1997</v>
      </c>
      <c r="C2030" s="61">
        <v>371519.05063661386</v>
      </c>
      <c r="D2030" s="102">
        <v>0.33192152673148279</v>
      </c>
    </row>
    <row r="2031" spans="2:4" x14ac:dyDescent="0.25">
      <c r="B2031" s="61">
        <v>1998</v>
      </c>
      <c r="C2031" s="61">
        <v>84993.586597018759</v>
      </c>
      <c r="D2031" s="102">
        <v>0.12457006247884927</v>
      </c>
    </row>
    <row r="2032" spans="2:4" x14ac:dyDescent="0.25">
      <c r="B2032" s="61">
        <v>1999</v>
      </c>
      <c r="C2032" s="61">
        <v>217014.51800260297</v>
      </c>
      <c r="D2032" s="102">
        <v>0.23890698302880686</v>
      </c>
    </row>
    <row r="2033" spans="2:4" x14ac:dyDescent="0.25">
      <c r="B2033" s="61">
        <v>2000</v>
      </c>
      <c r="C2033" s="61">
        <v>439024.26634257007</v>
      </c>
      <c r="D2033" s="102">
        <v>0.40977842112121121</v>
      </c>
    </row>
    <row r="2034" spans="2:4" x14ac:dyDescent="0.25">
      <c r="B2034" s="61">
        <v>2001</v>
      </c>
      <c r="C2034" s="61">
        <v>376041.97986308159</v>
      </c>
      <c r="D2034" s="102">
        <v>0.31595059852013807</v>
      </c>
    </row>
    <row r="2035" spans="2:4" x14ac:dyDescent="0.25">
      <c r="B2035" s="61">
        <v>2002</v>
      </c>
      <c r="C2035" s="61">
        <v>141219.04829740408</v>
      </c>
      <c r="D2035" s="102">
        <v>0.1985889468187958</v>
      </c>
    </row>
    <row r="2036" spans="2:4" x14ac:dyDescent="0.25">
      <c r="B2036" s="61">
        <v>2003</v>
      </c>
      <c r="C2036" s="61">
        <v>150571.58292579057</v>
      </c>
      <c r="D2036" s="102">
        <v>0.2052006309152612</v>
      </c>
    </row>
    <row r="2037" spans="2:4" x14ac:dyDescent="0.25">
      <c r="B2037" s="61">
        <v>2004</v>
      </c>
      <c r="C2037" s="61">
        <v>167849.25652685598</v>
      </c>
      <c r="D2037" s="102">
        <v>0.204391910408392</v>
      </c>
    </row>
    <row r="2038" spans="2:4" x14ac:dyDescent="0.25">
      <c r="B2038" s="61">
        <v>2005</v>
      </c>
      <c r="C2038" s="61">
        <v>351806.62814423954</v>
      </c>
      <c r="D2038" s="102">
        <v>0.32159872394360489</v>
      </c>
    </row>
    <row r="2039" spans="2:4" x14ac:dyDescent="0.25">
      <c r="B2039" s="61">
        <v>2006</v>
      </c>
      <c r="C2039" s="61">
        <v>291279.75928116718</v>
      </c>
      <c r="D2039" s="102">
        <v>0.29358501255147829</v>
      </c>
    </row>
    <row r="2040" spans="2:4" x14ac:dyDescent="0.25">
      <c r="B2040" s="61">
        <v>2007</v>
      </c>
      <c r="C2040" s="61">
        <v>303484.53485570208</v>
      </c>
      <c r="D2040" s="102">
        <v>0.33939271777081759</v>
      </c>
    </row>
    <row r="2041" spans="2:4" x14ac:dyDescent="0.25">
      <c r="B2041" s="61">
        <v>2008</v>
      </c>
      <c r="C2041" s="61">
        <v>333918.75409946823</v>
      </c>
      <c r="D2041" s="102">
        <v>0.30218597284274606</v>
      </c>
    </row>
    <row r="2042" spans="2:4" x14ac:dyDescent="0.25">
      <c r="B2042" s="61">
        <v>2009</v>
      </c>
      <c r="C2042" s="61">
        <v>339671.58916041802</v>
      </c>
      <c r="D2042" s="102">
        <v>0.34089240682510646</v>
      </c>
    </row>
    <row r="2043" spans="2:4" x14ac:dyDescent="0.25">
      <c r="B2043" s="61">
        <v>2010</v>
      </c>
      <c r="C2043" s="61">
        <v>242997.98738311313</v>
      </c>
      <c r="D2043" s="102">
        <v>0.25763790329235259</v>
      </c>
    </row>
    <row r="2044" spans="2:4" x14ac:dyDescent="0.25">
      <c r="B2044" s="61">
        <v>2011</v>
      </c>
      <c r="C2044" s="61">
        <v>186576.67950144771</v>
      </c>
      <c r="D2044" s="102">
        <v>0.19958243770393769</v>
      </c>
    </row>
    <row r="2045" spans="2:4" x14ac:dyDescent="0.25">
      <c r="B2045" s="61">
        <v>2012</v>
      </c>
      <c r="C2045" s="61">
        <v>389115.9038260883</v>
      </c>
      <c r="D2045" s="102">
        <v>0.39661861911869623</v>
      </c>
    </row>
    <row r="2046" spans="2:4" x14ac:dyDescent="0.25">
      <c r="B2046" s="61">
        <v>2013</v>
      </c>
      <c r="C2046" s="61">
        <v>99402.858743651188</v>
      </c>
      <c r="D2046" s="102">
        <v>0.13131212345756382</v>
      </c>
    </row>
    <row r="2047" spans="2:4" x14ac:dyDescent="0.25">
      <c r="B2047" s="61">
        <v>2014</v>
      </c>
      <c r="C2047" s="61">
        <v>633756.03434412763</v>
      </c>
      <c r="D2047" s="102">
        <v>0.46745592844582373</v>
      </c>
    </row>
    <row r="2048" spans="2:4" x14ac:dyDescent="0.25">
      <c r="B2048" s="61">
        <v>2015</v>
      </c>
      <c r="C2048" s="61">
        <v>348002.69662196084</v>
      </c>
      <c r="D2048" s="102">
        <v>0.34206619315235942</v>
      </c>
    </row>
    <row r="2049" spans="2:4" x14ac:dyDescent="0.25">
      <c r="B2049" s="61">
        <v>2016</v>
      </c>
      <c r="C2049" s="61">
        <v>444243.48629971209</v>
      </c>
      <c r="D2049" s="102">
        <v>0.37960940407238897</v>
      </c>
    </row>
    <row r="2050" spans="2:4" x14ac:dyDescent="0.25">
      <c r="B2050" s="61">
        <v>2017</v>
      </c>
      <c r="C2050" s="61">
        <v>205857.41091752634</v>
      </c>
      <c r="D2050" s="102">
        <v>0.20662337421081478</v>
      </c>
    </row>
    <row r="2051" spans="2:4" x14ac:dyDescent="0.25">
      <c r="B2051" s="61">
        <v>2018</v>
      </c>
      <c r="C2051" s="61">
        <v>298931.71150383947</v>
      </c>
      <c r="D2051" s="102">
        <v>0.31701387246616264</v>
      </c>
    </row>
    <row r="2052" spans="2:4" x14ac:dyDescent="0.25">
      <c r="B2052" s="61">
        <v>2019</v>
      </c>
      <c r="C2052" s="61">
        <v>335067.26790053351</v>
      </c>
      <c r="D2052" s="102">
        <v>0.27364200625582358</v>
      </c>
    </row>
    <row r="2053" spans="2:4" x14ac:dyDescent="0.25">
      <c r="B2053" s="61">
        <v>2020</v>
      </c>
      <c r="C2053" s="61">
        <v>170657.20205124572</v>
      </c>
      <c r="D2053" s="102">
        <v>0.19226092896667835</v>
      </c>
    </row>
    <row r="2054" spans="2:4" x14ac:dyDescent="0.25">
      <c r="B2054" s="61">
        <v>2021</v>
      </c>
      <c r="C2054" s="61">
        <v>185450.71801853087</v>
      </c>
      <c r="D2054" s="102">
        <v>0.2136079038773151</v>
      </c>
    </row>
    <row r="2055" spans="2:4" x14ac:dyDescent="0.25">
      <c r="B2055" s="61">
        <v>2022</v>
      </c>
      <c r="C2055" s="61">
        <v>162070.64458435623</v>
      </c>
      <c r="D2055" s="102">
        <v>0.1739227416409086</v>
      </c>
    </row>
    <row r="2056" spans="2:4" x14ac:dyDescent="0.25">
      <c r="B2056" s="61">
        <v>2023</v>
      </c>
      <c r="C2056" s="61">
        <v>290455.27024568047</v>
      </c>
      <c r="D2056" s="102">
        <v>0.35672990287163953</v>
      </c>
    </row>
    <row r="2057" spans="2:4" x14ac:dyDescent="0.25">
      <c r="B2057" s="61">
        <v>2024</v>
      </c>
      <c r="C2057" s="61">
        <v>399856.63099650643</v>
      </c>
      <c r="D2057" s="102">
        <v>0.35509889272080963</v>
      </c>
    </row>
    <row r="2058" spans="2:4" x14ac:dyDescent="0.25">
      <c r="B2058" s="61">
        <v>2025</v>
      </c>
      <c r="C2058" s="61">
        <v>305733.41370130354</v>
      </c>
      <c r="D2058" s="102">
        <v>0.30429837112434521</v>
      </c>
    </row>
    <row r="2059" spans="2:4" x14ac:dyDescent="0.25">
      <c r="B2059" s="61">
        <v>2026</v>
      </c>
      <c r="C2059" s="61">
        <v>243044.20996708691</v>
      </c>
      <c r="D2059" s="102">
        <v>0.29943955631233132</v>
      </c>
    </row>
    <row r="2060" spans="2:4" x14ac:dyDescent="0.25">
      <c r="B2060" s="61">
        <v>2027</v>
      </c>
      <c r="C2060" s="61">
        <v>195205.85290459287</v>
      </c>
      <c r="D2060" s="102">
        <v>0.2225467922496942</v>
      </c>
    </row>
    <row r="2061" spans="2:4" x14ac:dyDescent="0.25">
      <c r="B2061" s="61">
        <v>2028</v>
      </c>
      <c r="C2061" s="61">
        <v>137645.80794824875</v>
      </c>
      <c r="D2061" s="102">
        <v>0.17584122801754898</v>
      </c>
    </row>
    <row r="2062" spans="2:4" x14ac:dyDescent="0.25">
      <c r="B2062" s="61">
        <v>2029</v>
      </c>
      <c r="C2062" s="61">
        <v>362058.43638212548</v>
      </c>
      <c r="D2062" s="102">
        <v>0.32650632426041271</v>
      </c>
    </row>
    <row r="2063" spans="2:4" x14ac:dyDescent="0.25">
      <c r="B2063" s="61">
        <v>2030</v>
      </c>
      <c r="C2063" s="61">
        <v>231384.68655599002</v>
      </c>
      <c r="D2063" s="102">
        <v>0.29547537913740696</v>
      </c>
    </row>
    <row r="2064" spans="2:4" x14ac:dyDescent="0.25">
      <c r="B2064" s="61">
        <v>2031</v>
      </c>
      <c r="C2064" s="61">
        <v>158843.7669035283</v>
      </c>
      <c r="D2064" s="102">
        <v>0.18750021763723557</v>
      </c>
    </row>
    <row r="2065" spans="2:4" x14ac:dyDescent="0.25">
      <c r="B2065" s="61">
        <v>2032</v>
      </c>
      <c r="C2065" s="61">
        <v>425212.3029195983</v>
      </c>
      <c r="D2065" s="102">
        <v>0.35250124935607907</v>
      </c>
    </row>
    <row r="2066" spans="2:4" x14ac:dyDescent="0.25">
      <c r="B2066" s="61">
        <v>2033</v>
      </c>
      <c r="C2066" s="61">
        <v>254384.88838506478</v>
      </c>
      <c r="D2066" s="102">
        <v>0.26904022715706555</v>
      </c>
    </row>
    <row r="2067" spans="2:4" x14ac:dyDescent="0.25">
      <c r="B2067" s="61">
        <v>2034</v>
      </c>
      <c r="C2067" s="61">
        <v>340570.9819326055</v>
      </c>
      <c r="D2067" s="102">
        <v>0.34461577438535018</v>
      </c>
    </row>
    <row r="2068" spans="2:4" x14ac:dyDescent="0.25">
      <c r="B2068" s="61">
        <v>2035</v>
      </c>
      <c r="C2068" s="61">
        <v>258895.76821533788</v>
      </c>
      <c r="D2068" s="102">
        <v>0.25698785105831567</v>
      </c>
    </row>
    <row r="2069" spans="2:4" x14ac:dyDescent="0.25">
      <c r="B2069" s="61">
        <v>2036</v>
      </c>
      <c r="C2069" s="61">
        <v>347508.56734374247</v>
      </c>
      <c r="D2069" s="102">
        <v>0.29835785589325625</v>
      </c>
    </row>
    <row r="2070" spans="2:4" x14ac:dyDescent="0.25">
      <c r="B2070" s="61">
        <v>2037</v>
      </c>
      <c r="C2070" s="61">
        <v>255528.27715857385</v>
      </c>
      <c r="D2070" s="102">
        <v>0.26423361625753694</v>
      </c>
    </row>
    <row r="2071" spans="2:4" x14ac:dyDescent="0.25">
      <c r="B2071" s="61">
        <v>2038</v>
      </c>
      <c r="C2071" s="61">
        <v>346367.50988659065</v>
      </c>
      <c r="D2071" s="102">
        <v>0.34739194028540488</v>
      </c>
    </row>
    <row r="2072" spans="2:4" x14ac:dyDescent="0.25">
      <c r="B2072" s="61">
        <v>2039</v>
      </c>
      <c r="C2072" s="61">
        <v>248043.27158215968</v>
      </c>
      <c r="D2072" s="102">
        <v>0.24740045504403874</v>
      </c>
    </row>
    <row r="2073" spans="2:4" x14ac:dyDescent="0.25">
      <c r="B2073" s="61">
        <v>2040</v>
      </c>
      <c r="C2073" s="61">
        <v>-32182.095538550231</v>
      </c>
      <c r="D2073" s="102">
        <v>3.7821381537958665E-2</v>
      </c>
    </row>
    <row r="2074" spans="2:4" x14ac:dyDescent="0.25">
      <c r="B2074" s="61">
        <v>2041</v>
      </c>
      <c r="C2074" s="61">
        <v>63799.574676944118</v>
      </c>
      <c r="D2074" s="102">
        <v>0.1173693357836183</v>
      </c>
    </row>
    <row r="2075" spans="2:4" x14ac:dyDescent="0.25">
      <c r="B2075" s="61">
        <v>2042</v>
      </c>
      <c r="C2075" s="61">
        <v>197673.68956366717</v>
      </c>
      <c r="D2075" s="102">
        <v>0.23364179705919086</v>
      </c>
    </row>
    <row r="2076" spans="2:4" x14ac:dyDescent="0.25">
      <c r="B2076" s="61">
        <v>2043</v>
      </c>
      <c r="C2076" s="61">
        <v>177624.41123231268</v>
      </c>
      <c r="D2076" s="102">
        <v>0.20364512716116345</v>
      </c>
    </row>
    <row r="2077" spans="2:4" x14ac:dyDescent="0.25">
      <c r="B2077" s="61">
        <v>2044</v>
      </c>
      <c r="C2077" s="61">
        <v>341865.75476435467</v>
      </c>
      <c r="D2077" s="102">
        <v>0.3579485681849508</v>
      </c>
    </row>
    <row r="2078" spans="2:4" x14ac:dyDescent="0.25">
      <c r="B2078" s="61">
        <v>2045</v>
      </c>
      <c r="C2078" s="61">
        <v>150115.29149570089</v>
      </c>
      <c r="D2078" s="102">
        <v>0.16967584055523655</v>
      </c>
    </row>
    <row r="2079" spans="2:4" x14ac:dyDescent="0.25">
      <c r="B2079" s="61">
        <v>2046</v>
      </c>
      <c r="C2079" s="61">
        <v>439082.4079735789</v>
      </c>
      <c r="D2079" s="102">
        <v>0.36681010905498712</v>
      </c>
    </row>
    <row r="2080" spans="2:4" x14ac:dyDescent="0.25">
      <c r="B2080" s="61">
        <v>2047</v>
      </c>
      <c r="C2080" s="61">
        <v>216261.00922929449</v>
      </c>
      <c r="D2080" s="102">
        <v>0.21637739885257967</v>
      </c>
    </row>
    <row r="2081" spans="2:4" x14ac:dyDescent="0.25">
      <c r="B2081" s="61">
        <v>2048</v>
      </c>
      <c r="C2081" s="61">
        <v>269656.5253262592</v>
      </c>
      <c r="D2081" s="102">
        <v>0.26234394794302252</v>
      </c>
    </row>
    <row r="2082" spans="2:4" x14ac:dyDescent="0.25">
      <c r="B2082" s="61">
        <v>2049</v>
      </c>
      <c r="C2082" s="61">
        <v>121774.22031718493</v>
      </c>
      <c r="D2082" s="102">
        <v>0.18198040895493439</v>
      </c>
    </row>
    <row r="2083" spans="2:4" x14ac:dyDescent="0.25">
      <c r="B2083" s="61">
        <v>2050</v>
      </c>
      <c r="C2083" s="61">
        <v>168115.19468872237</v>
      </c>
      <c r="D2083" s="102">
        <v>0.20750421524513651</v>
      </c>
    </row>
    <row r="2084" spans="2:4" x14ac:dyDescent="0.25">
      <c r="B2084" s="61">
        <v>2051</v>
      </c>
      <c r="C2084" s="61">
        <v>223075.74781517114</v>
      </c>
      <c r="D2084" s="102">
        <v>0.25786767418997347</v>
      </c>
    </row>
    <row r="2085" spans="2:4" x14ac:dyDescent="0.25">
      <c r="B2085" s="61">
        <v>2052</v>
      </c>
      <c r="C2085" s="61">
        <v>124431.39268444164</v>
      </c>
      <c r="D2085" s="102">
        <v>0.19710446332643849</v>
      </c>
    </row>
    <row r="2086" spans="2:4" x14ac:dyDescent="0.25">
      <c r="B2086" s="61">
        <v>2053</v>
      </c>
      <c r="C2086" s="61">
        <v>472803.24625168857</v>
      </c>
      <c r="D2086" s="102">
        <v>0.38413144930212373</v>
      </c>
    </row>
    <row r="2087" spans="2:4" x14ac:dyDescent="0.25">
      <c r="B2087" s="61">
        <v>2054</v>
      </c>
      <c r="C2087" s="61">
        <v>396260.13243511564</v>
      </c>
      <c r="D2087" s="102">
        <v>0.3257717586311204</v>
      </c>
    </row>
    <row r="2088" spans="2:4" x14ac:dyDescent="0.25">
      <c r="B2088" s="61">
        <v>2055</v>
      </c>
      <c r="C2088" s="61">
        <v>255775.62117509684</v>
      </c>
      <c r="D2088" s="102">
        <v>0.28294544341370709</v>
      </c>
    </row>
    <row r="2089" spans="2:4" x14ac:dyDescent="0.25">
      <c r="B2089" s="61">
        <v>2056</v>
      </c>
      <c r="C2089" s="61">
        <v>452717.30159006885</v>
      </c>
      <c r="D2089" s="102">
        <v>0.36432203523260531</v>
      </c>
    </row>
    <row r="2090" spans="2:4" x14ac:dyDescent="0.25">
      <c r="B2090" s="61">
        <v>2057</v>
      </c>
      <c r="C2090" s="61">
        <v>306611.28011509485</v>
      </c>
      <c r="D2090" s="102">
        <v>0.31549094068114703</v>
      </c>
    </row>
    <row r="2091" spans="2:4" x14ac:dyDescent="0.25">
      <c r="B2091" s="61">
        <v>2058</v>
      </c>
      <c r="C2091" s="61">
        <v>345323.1669859098</v>
      </c>
      <c r="D2091" s="102">
        <v>0.31130389699257277</v>
      </c>
    </row>
    <row r="2092" spans="2:4" x14ac:dyDescent="0.25">
      <c r="B2092" s="61">
        <v>2059</v>
      </c>
      <c r="C2092" s="61">
        <v>12394.001569144719</v>
      </c>
      <c r="D2092" s="102">
        <v>7.2462736256179383E-2</v>
      </c>
    </row>
    <row r="2093" spans="2:4" x14ac:dyDescent="0.25">
      <c r="B2093" s="61">
        <v>2060</v>
      </c>
      <c r="C2093" s="61">
        <v>472511.19873580849</v>
      </c>
      <c r="D2093" s="102">
        <v>0.42180200303815174</v>
      </c>
    </row>
    <row r="2094" spans="2:4" x14ac:dyDescent="0.25">
      <c r="B2094" s="61">
        <v>2061</v>
      </c>
      <c r="C2094" s="61">
        <v>159245.37340953079</v>
      </c>
      <c r="D2094" s="102">
        <v>0.17072763172088057</v>
      </c>
    </row>
    <row r="2095" spans="2:4" x14ac:dyDescent="0.25">
      <c r="B2095" s="61">
        <v>2062</v>
      </c>
      <c r="C2095" s="61">
        <v>189448.67093651113</v>
      </c>
      <c r="D2095" s="102">
        <v>0.2517467687603161</v>
      </c>
    </row>
    <row r="2096" spans="2:4" x14ac:dyDescent="0.25">
      <c r="B2096" s="61">
        <v>2063</v>
      </c>
      <c r="C2096" s="61">
        <v>223095.80740339949</v>
      </c>
      <c r="D2096" s="102">
        <v>0.21688554388868897</v>
      </c>
    </row>
    <row r="2097" spans="2:4" x14ac:dyDescent="0.25">
      <c r="B2097" s="61">
        <v>2064</v>
      </c>
      <c r="C2097" s="61">
        <v>20624.22448726045</v>
      </c>
      <c r="D2097" s="102">
        <v>8.1628608819851234E-2</v>
      </c>
    </row>
    <row r="2098" spans="2:4" x14ac:dyDescent="0.25">
      <c r="B2098" s="61">
        <v>2065</v>
      </c>
      <c r="C2098" s="61">
        <v>205252.38690784154</v>
      </c>
      <c r="D2098" s="102">
        <v>0.2750232895115341</v>
      </c>
    </row>
    <row r="2099" spans="2:4" x14ac:dyDescent="0.25">
      <c r="B2099" s="61">
        <v>2066</v>
      </c>
      <c r="C2099" s="61">
        <v>315140.33282158012</v>
      </c>
      <c r="D2099" s="102">
        <v>0.33871373614193234</v>
      </c>
    </row>
    <row r="2100" spans="2:4" x14ac:dyDescent="0.25">
      <c r="B2100" s="61">
        <v>2067</v>
      </c>
      <c r="C2100" s="61">
        <v>259763.81276881287</v>
      </c>
      <c r="D2100" s="102">
        <v>0.23856165495741255</v>
      </c>
    </row>
    <row r="2101" spans="2:4" x14ac:dyDescent="0.25">
      <c r="B2101" s="61">
        <v>2068</v>
      </c>
      <c r="C2101" s="61">
        <v>87754.151972236228</v>
      </c>
      <c r="D2101" s="102">
        <v>0.13469865709152917</v>
      </c>
    </row>
    <row r="2102" spans="2:4" x14ac:dyDescent="0.25">
      <c r="B2102" s="61">
        <v>2069</v>
      </c>
      <c r="C2102" s="61">
        <v>73517.701352954668</v>
      </c>
      <c r="D2102" s="102">
        <v>0.12763992966851534</v>
      </c>
    </row>
    <row r="2103" spans="2:4" x14ac:dyDescent="0.25">
      <c r="B2103" s="61">
        <v>2070</v>
      </c>
      <c r="C2103" s="61">
        <v>265830.51336730528</v>
      </c>
      <c r="D2103" s="102">
        <v>0.28249852222929239</v>
      </c>
    </row>
    <row r="2104" spans="2:4" x14ac:dyDescent="0.25">
      <c r="B2104" s="61">
        <v>2071</v>
      </c>
      <c r="C2104" s="61">
        <v>170553.63093064493</v>
      </c>
      <c r="D2104" s="102">
        <v>0.1853252140315973</v>
      </c>
    </row>
    <row r="2105" spans="2:4" x14ac:dyDescent="0.25">
      <c r="B2105" s="61">
        <v>2072</v>
      </c>
      <c r="C2105" s="61">
        <v>172991.77429126995</v>
      </c>
      <c r="D2105" s="102">
        <v>0.18238635943566894</v>
      </c>
    </row>
    <row r="2106" spans="2:4" x14ac:dyDescent="0.25">
      <c r="B2106" s="61">
        <v>2073</v>
      </c>
      <c r="C2106" s="61">
        <v>233787.79919596354</v>
      </c>
      <c r="D2106" s="102">
        <v>0.22537186910055418</v>
      </c>
    </row>
    <row r="2107" spans="2:4" x14ac:dyDescent="0.25">
      <c r="B2107" s="61">
        <v>2074</v>
      </c>
      <c r="C2107" s="61">
        <v>189549.12638626271</v>
      </c>
      <c r="D2107" s="102">
        <v>0.22618948892338775</v>
      </c>
    </row>
    <row r="2108" spans="2:4" x14ac:dyDescent="0.25">
      <c r="B2108" s="61">
        <v>2075</v>
      </c>
      <c r="C2108" s="61">
        <v>240679.52943382214</v>
      </c>
      <c r="D2108" s="102">
        <v>0.24263386379218055</v>
      </c>
    </row>
    <row r="2109" spans="2:4" x14ac:dyDescent="0.25">
      <c r="B2109" s="61">
        <v>2076</v>
      </c>
      <c r="C2109" s="61">
        <v>416408.14869577019</v>
      </c>
      <c r="D2109" s="102">
        <v>0.40978787326441091</v>
      </c>
    </row>
    <row r="2110" spans="2:4" x14ac:dyDescent="0.25">
      <c r="B2110" s="61">
        <v>2077</v>
      </c>
      <c r="C2110" s="61">
        <v>512811.61199105333</v>
      </c>
      <c r="D2110" s="102">
        <v>0.47620344561496863</v>
      </c>
    </row>
    <row r="2111" spans="2:4" x14ac:dyDescent="0.25">
      <c r="B2111" s="61">
        <v>2078</v>
      </c>
      <c r="C2111" s="61">
        <v>348359.08044974098</v>
      </c>
      <c r="D2111" s="102">
        <v>0.34202276127999154</v>
      </c>
    </row>
    <row r="2112" spans="2:4" x14ac:dyDescent="0.25">
      <c r="B2112" s="61">
        <v>2079</v>
      </c>
      <c r="C2112" s="61">
        <v>300711.57669020968</v>
      </c>
      <c r="D2112" s="102">
        <v>0.28019734489919168</v>
      </c>
    </row>
    <row r="2113" spans="2:4" x14ac:dyDescent="0.25">
      <c r="B2113" s="61">
        <v>2080</v>
      </c>
      <c r="C2113" s="61">
        <v>306236.27309934993</v>
      </c>
      <c r="D2113" s="102">
        <v>0.28987206828773182</v>
      </c>
    </row>
    <row r="2114" spans="2:4" x14ac:dyDescent="0.25">
      <c r="B2114" s="61">
        <v>2081</v>
      </c>
      <c r="C2114" s="61">
        <v>61116.226636090898</v>
      </c>
      <c r="D2114" s="102">
        <v>0.11498929731208185</v>
      </c>
    </row>
    <row r="2115" spans="2:4" x14ac:dyDescent="0.25">
      <c r="B2115" s="61">
        <v>2082</v>
      </c>
      <c r="C2115" s="61">
        <v>134018.90752600919</v>
      </c>
      <c r="D2115" s="102">
        <v>0.152738848197701</v>
      </c>
    </row>
    <row r="2116" spans="2:4" x14ac:dyDescent="0.25">
      <c r="B2116" s="61">
        <v>2083</v>
      </c>
      <c r="C2116" s="61">
        <v>89923.273618136824</v>
      </c>
      <c r="D2116" s="102">
        <v>0.13236865051414259</v>
      </c>
    </row>
    <row r="2117" spans="2:4" x14ac:dyDescent="0.25">
      <c r="B2117" s="61">
        <v>2084</v>
      </c>
      <c r="C2117" s="61">
        <v>142818.43650023581</v>
      </c>
      <c r="D2117" s="102">
        <v>0.21671945963916928</v>
      </c>
    </row>
    <row r="2118" spans="2:4" x14ac:dyDescent="0.25">
      <c r="B2118" s="61">
        <v>2085</v>
      </c>
      <c r="C2118" s="61">
        <v>155655.54602257052</v>
      </c>
      <c r="D2118" s="102">
        <v>0.19436555244919762</v>
      </c>
    </row>
    <row r="2119" spans="2:4" x14ac:dyDescent="0.25">
      <c r="B2119" s="61">
        <v>2086</v>
      </c>
      <c r="C2119" s="61">
        <v>186441.0505233088</v>
      </c>
      <c r="D2119" s="102">
        <v>0.21168324752374201</v>
      </c>
    </row>
    <row r="2120" spans="2:4" x14ac:dyDescent="0.25">
      <c r="B2120" s="61">
        <v>2087</v>
      </c>
      <c r="C2120" s="61">
        <v>47279.671995614655</v>
      </c>
      <c r="D2120" s="102">
        <v>0.12664318374584704</v>
      </c>
    </row>
    <row r="2121" spans="2:4" x14ac:dyDescent="0.25">
      <c r="B2121" s="61">
        <v>2088</v>
      </c>
      <c r="C2121" s="61">
        <v>445058.69437838939</v>
      </c>
      <c r="D2121" s="102">
        <v>0.33075987802983065</v>
      </c>
    </row>
    <row r="2122" spans="2:4" x14ac:dyDescent="0.25">
      <c r="B2122" s="61">
        <v>2089</v>
      </c>
      <c r="C2122" s="61">
        <v>301433.55595113046</v>
      </c>
      <c r="D2122" s="102">
        <v>0.37543632509158265</v>
      </c>
    </row>
    <row r="2123" spans="2:4" x14ac:dyDescent="0.25">
      <c r="B2123" s="61">
        <v>2090</v>
      </c>
      <c r="C2123" s="61">
        <v>403034.22860366444</v>
      </c>
      <c r="D2123" s="102">
        <v>0.47015967023401606</v>
      </c>
    </row>
    <row r="2124" spans="2:4" x14ac:dyDescent="0.25">
      <c r="B2124" s="61">
        <v>2091</v>
      </c>
      <c r="C2124" s="61">
        <v>93479.987994786294</v>
      </c>
      <c r="D2124" s="102">
        <v>0.14204190303758479</v>
      </c>
    </row>
    <row r="2125" spans="2:4" x14ac:dyDescent="0.25">
      <c r="B2125" s="61">
        <v>2092</v>
      </c>
      <c r="C2125" s="61">
        <v>338786.26251062448</v>
      </c>
      <c r="D2125" s="102">
        <v>0.35316634762109977</v>
      </c>
    </row>
    <row r="2126" spans="2:4" x14ac:dyDescent="0.25">
      <c r="B2126" s="61">
        <v>2093</v>
      </c>
      <c r="C2126" s="61">
        <v>422546.946612044</v>
      </c>
      <c r="D2126" s="102">
        <v>0.4323348910718452</v>
      </c>
    </row>
    <row r="2127" spans="2:4" x14ac:dyDescent="0.25">
      <c r="B2127" s="61">
        <v>2094</v>
      </c>
      <c r="C2127" s="61">
        <v>240797.30451706995</v>
      </c>
      <c r="D2127" s="102">
        <v>0.2910315749820942</v>
      </c>
    </row>
    <row r="2128" spans="2:4" x14ac:dyDescent="0.25">
      <c r="B2128" s="61">
        <v>2095</v>
      </c>
      <c r="C2128" s="61">
        <v>353256.09318673937</v>
      </c>
      <c r="D2128" s="102">
        <v>0.35139850113305848</v>
      </c>
    </row>
    <row r="2129" spans="2:4" x14ac:dyDescent="0.25">
      <c r="B2129" s="61">
        <v>2096</v>
      </c>
      <c r="C2129" s="61">
        <v>64503.129852743121</v>
      </c>
      <c r="D2129" s="102">
        <v>0.122074620368815</v>
      </c>
    </row>
    <row r="2130" spans="2:4" x14ac:dyDescent="0.25">
      <c r="B2130" s="61">
        <v>2097</v>
      </c>
      <c r="C2130" s="61">
        <v>249636.47709962795</v>
      </c>
      <c r="D2130" s="102">
        <v>0.23994813799709047</v>
      </c>
    </row>
    <row r="2131" spans="2:4" x14ac:dyDescent="0.25">
      <c r="B2131" s="61">
        <v>2098</v>
      </c>
      <c r="C2131" s="61">
        <v>183444.76011790114</v>
      </c>
      <c r="D2131" s="102">
        <v>0.20173816620592389</v>
      </c>
    </row>
    <row r="2132" spans="2:4" x14ac:dyDescent="0.25">
      <c r="B2132" s="61">
        <v>2099</v>
      </c>
      <c r="C2132" s="61">
        <v>242016.96223505354</v>
      </c>
      <c r="D2132" s="102">
        <v>0.23828716949306994</v>
      </c>
    </row>
    <row r="2133" spans="2:4" x14ac:dyDescent="0.25">
      <c r="B2133" s="61">
        <v>2100</v>
      </c>
      <c r="C2133" s="61">
        <v>367820.80354345124</v>
      </c>
      <c r="D2133" s="102">
        <v>0.35315559196024759</v>
      </c>
    </row>
    <row r="2134" spans="2:4" x14ac:dyDescent="0.25">
      <c r="B2134" s="61">
        <v>2101</v>
      </c>
      <c r="C2134" s="61">
        <v>261324.25779544841</v>
      </c>
      <c r="D2134" s="102">
        <v>0.28067476881312547</v>
      </c>
    </row>
    <row r="2135" spans="2:4" x14ac:dyDescent="0.25">
      <c r="B2135" s="61">
        <v>2102</v>
      </c>
      <c r="C2135" s="61">
        <v>138442.89261410816</v>
      </c>
      <c r="D2135" s="102">
        <v>0.1610821676884131</v>
      </c>
    </row>
    <row r="2136" spans="2:4" x14ac:dyDescent="0.25">
      <c r="B2136" s="61">
        <v>2103</v>
      </c>
      <c r="C2136" s="61">
        <v>488639.2558740963</v>
      </c>
      <c r="D2136" s="102">
        <v>0.40132209594245438</v>
      </c>
    </row>
    <row r="2137" spans="2:4" x14ac:dyDescent="0.25">
      <c r="B2137" s="61">
        <v>2104</v>
      </c>
      <c r="C2137" s="61">
        <v>307268.24345695006</v>
      </c>
      <c r="D2137" s="102">
        <v>0.3187072108094684</v>
      </c>
    </row>
    <row r="2138" spans="2:4" x14ac:dyDescent="0.25">
      <c r="B2138" s="61">
        <v>2105</v>
      </c>
      <c r="C2138" s="61">
        <v>162651.32359524106</v>
      </c>
      <c r="D2138" s="102">
        <v>0.21237903339922903</v>
      </c>
    </row>
    <row r="2139" spans="2:4" x14ac:dyDescent="0.25">
      <c r="B2139" s="61">
        <v>2106</v>
      </c>
      <c r="C2139" s="61">
        <v>491201.06813929393</v>
      </c>
      <c r="D2139" s="102">
        <v>0.52550341219248486</v>
      </c>
    </row>
    <row r="2140" spans="2:4" x14ac:dyDescent="0.25">
      <c r="B2140" s="61">
        <v>2107</v>
      </c>
      <c r="C2140" s="61">
        <v>146621.81538257236</v>
      </c>
      <c r="D2140" s="102">
        <v>0.22023680241972121</v>
      </c>
    </row>
    <row r="2141" spans="2:4" x14ac:dyDescent="0.25">
      <c r="B2141" s="61">
        <v>2108</v>
      </c>
      <c r="C2141" s="61">
        <v>419578.22335342364</v>
      </c>
      <c r="D2141" s="102">
        <v>0.39140651039722996</v>
      </c>
    </row>
    <row r="2142" spans="2:4" x14ac:dyDescent="0.25">
      <c r="B2142" s="61">
        <v>2109</v>
      </c>
      <c r="C2142" s="61">
        <v>103720.66251073754</v>
      </c>
      <c r="D2142" s="102">
        <v>0.15619754833576094</v>
      </c>
    </row>
    <row r="2143" spans="2:4" x14ac:dyDescent="0.25">
      <c r="B2143" s="61">
        <v>2110</v>
      </c>
      <c r="C2143" s="61">
        <v>105346.67702107917</v>
      </c>
      <c r="D2143" s="102">
        <v>0.14289982391887079</v>
      </c>
    </row>
    <row r="2144" spans="2:4" x14ac:dyDescent="0.25">
      <c r="B2144" s="61">
        <v>2111</v>
      </c>
      <c r="C2144" s="61">
        <v>365895.89332138118</v>
      </c>
      <c r="D2144" s="102">
        <v>0.3387167480197617</v>
      </c>
    </row>
    <row r="2145" spans="2:4" x14ac:dyDescent="0.25">
      <c r="B2145" s="61">
        <v>2112</v>
      </c>
      <c r="C2145" s="61">
        <v>401720.37786789658</v>
      </c>
      <c r="D2145" s="102">
        <v>0.31445565962469146</v>
      </c>
    </row>
    <row r="2146" spans="2:4" x14ac:dyDescent="0.25">
      <c r="B2146" s="61">
        <v>2113</v>
      </c>
      <c r="C2146" s="61">
        <v>319950.40917222097</v>
      </c>
      <c r="D2146" s="102">
        <v>0.29111761465644737</v>
      </c>
    </row>
    <row r="2147" spans="2:4" x14ac:dyDescent="0.25">
      <c r="B2147" s="61">
        <v>2114</v>
      </c>
      <c r="C2147" s="61">
        <v>341471.09016623872</v>
      </c>
      <c r="D2147" s="102">
        <v>0.38941565539334788</v>
      </c>
    </row>
    <row r="2148" spans="2:4" x14ac:dyDescent="0.25">
      <c r="B2148" s="61">
        <v>2115</v>
      </c>
      <c r="C2148" s="61">
        <v>462003.49477978027</v>
      </c>
      <c r="D2148" s="102">
        <v>0.41417735866218375</v>
      </c>
    </row>
    <row r="2149" spans="2:4" x14ac:dyDescent="0.25">
      <c r="B2149" s="61">
        <v>2116</v>
      </c>
      <c r="C2149" s="61">
        <v>473796.13914828736</v>
      </c>
      <c r="D2149" s="102">
        <v>0.41334374140321839</v>
      </c>
    </row>
    <row r="2150" spans="2:4" x14ac:dyDescent="0.25">
      <c r="B2150" s="61">
        <v>2117</v>
      </c>
      <c r="C2150" s="61">
        <v>110678.57819665055</v>
      </c>
      <c r="D2150" s="102">
        <v>0.14665599551956654</v>
      </c>
    </row>
    <row r="2151" spans="2:4" x14ac:dyDescent="0.25">
      <c r="B2151" s="61">
        <v>2118</v>
      </c>
      <c r="C2151" s="61">
        <v>87404.903736162873</v>
      </c>
      <c r="D2151" s="102">
        <v>0.13276089220235199</v>
      </c>
    </row>
    <row r="2152" spans="2:4" x14ac:dyDescent="0.25">
      <c r="B2152" s="61">
        <v>2119</v>
      </c>
      <c r="C2152" s="61">
        <v>207970.4005180368</v>
      </c>
      <c r="D2152" s="102">
        <v>0.21904656928179023</v>
      </c>
    </row>
    <row r="2153" spans="2:4" x14ac:dyDescent="0.25">
      <c r="B2153" s="61">
        <v>2120</v>
      </c>
      <c r="C2153" s="61">
        <v>560867.40485364397</v>
      </c>
      <c r="D2153" s="102">
        <v>0.47131135593189311</v>
      </c>
    </row>
    <row r="2154" spans="2:4" x14ac:dyDescent="0.25">
      <c r="B2154" s="61">
        <v>2121</v>
      </c>
      <c r="C2154" s="61">
        <v>163473.39678524737</v>
      </c>
      <c r="D2154" s="102">
        <v>0.18712276780600989</v>
      </c>
    </row>
    <row r="2155" spans="2:4" x14ac:dyDescent="0.25">
      <c r="B2155" s="61">
        <v>2122</v>
      </c>
      <c r="C2155" s="61">
        <v>394821.50556779688</v>
      </c>
      <c r="D2155" s="102">
        <v>0.31941499228522718</v>
      </c>
    </row>
    <row r="2156" spans="2:4" x14ac:dyDescent="0.25">
      <c r="B2156" s="61">
        <v>2123</v>
      </c>
      <c r="C2156" s="61">
        <v>43608.015020508843</v>
      </c>
      <c r="D2156" s="102">
        <v>9.4974383542917318E-2</v>
      </c>
    </row>
    <row r="2157" spans="2:4" x14ac:dyDescent="0.25">
      <c r="B2157" s="61">
        <v>2124</v>
      </c>
      <c r="C2157" s="61">
        <v>219782.74732645613</v>
      </c>
      <c r="D2157" s="102">
        <v>0.20608860388233041</v>
      </c>
    </row>
    <row r="2158" spans="2:4" x14ac:dyDescent="0.25">
      <c r="B2158" s="61">
        <v>2125</v>
      </c>
      <c r="C2158" s="61">
        <v>42155.723728536977</v>
      </c>
      <c r="D2158" s="102">
        <v>9.0398337723121891E-2</v>
      </c>
    </row>
    <row r="2159" spans="2:4" x14ac:dyDescent="0.25">
      <c r="B2159" s="61">
        <v>2126</v>
      </c>
      <c r="C2159" s="61">
        <v>230382.57181461726</v>
      </c>
      <c r="D2159" s="102">
        <v>0.23789037569156579</v>
      </c>
    </row>
    <row r="2160" spans="2:4" x14ac:dyDescent="0.25">
      <c r="B2160" s="61">
        <v>2127</v>
      </c>
      <c r="C2160" s="61">
        <v>365521.39117160894</v>
      </c>
      <c r="D2160" s="102">
        <v>0.4053036415768958</v>
      </c>
    </row>
    <row r="2161" spans="2:4" x14ac:dyDescent="0.25">
      <c r="B2161" s="61">
        <v>2128</v>
      </c>
      <c r="C2161" s="61">
        <v>200501.51118294918</v>
      </c>
      <c r="D2161" s="102">
        <v>0.19972093012309777</v>
      </c>
    </row>
    <row r="2162" spans="2:4" x14ac:dyDescent="0.25">
      <c r="B2162" s="61">
        <v>2129</v>
      </c>
      <c r="C2162" s="61">
        <v>279259.59986414295</v>
      </c>
      <c r="D2162" s="102">
        <v>0.2695034165951411</v>
      </c>
    </row>
    <row r="2163" spans="2:4" x14ac:dyDescent="0.25">
      <c r="B2163" s="61">
        <v>2130</v>
      </c>
      <c r="C2163" s="61">
        <v>173893.44258082565</v>
      </c>
      <c r="D2163" s="102">
        <v>0.20510162433935242</v>
      </c>
    </row>
    <row r="2164" spans="2:4" x14ac:dyDescent="0.25">
      <c r="B2164" s="61">
        <v>2131</v>
      </c>
      <c r="C2164" s="61">
        <v>344703.212791631</v>
      </c>
      <c r="D2164" s="102">
        <v>0.29419774807811971</v>
      </c>
    </row>
    <row r="2165" spans="2:4" x14ac:dyDescent="0.25">
      <c r="B2165" s="61">
        <v>2132</v>
      </c>
      <c r="C2165" s="61">
        <v>238458.33858387033</v>
      </c>
      <c r="D2165" s="102">
        <v>0.25322682919051887</v>
      </c>
    </row>
    <row r="2166" spans="2:4" x14ac:dyDescent="0.25">
      <c r="B2166" s="61">
        <v>2133</v>
      </c>
      <c r="C2166" s="61">
        <v>158603.8289496511</v>
      </c>
      <c r="D2166" s="102">
        <v>0.19187469374904542</v>
      </c>
    </row>
    <row r="2167" spans="2:4" x14ac:dyDescent="0.25">
      <c r="B2167" s="61">
        <v>2134</v>
      </c>
      <c r="C2167" s="61">
        <v>295585.58638801391</v>
      </c>
      <c r="D2167" s="102">
        <v>0.28150210242450235</v>
      </c>
    </row>
    <row r="2168" spans="2:4" x14ac:dyDescent="0.25">
      <c r="B2168" s="61">
        <v>2135</v>
      </c>
      <c r="C2168" s="61">
        <v>357035.12912792247</v>
      </c>
      <c r="D2168" s="102">
        <v>0.40215985599935267</v>
      </c>
    </row>
    <row r="2169" spans="2:4" x14ac:dyDescent="0.25">
      <c r="B2169" s="61">
        <v>2136</v>
      </c>
      <c r="C2169" s="61">
        <v>553194.79076152423</v>
      </c>
      <c r="D2169" s="102">
        <v>0.46131328836638752</v>
      </c>
    </row>
    <row r="2170" spans="2:4" x14ac:dyDescent="0.25">
      <c r="B2170" s="61">
        <v>2137</v>
      </c>
      <c r="C2170" s="61">
        <v>216172.4692232454</v>
      </c>
      <c r="D2170" s="102">
        <v>0.22795247482033321</v>
      </c>
    </row>
    <row r="2171" spans="2:4" x14ac:dyDescent="0.25">
      <c r="B2171" s="61">
        <v>2138</v>
      </c>
      <c r="C2171" s="61">
        <v>56383.329347951454</v>
      </c>
      <c r="D2171" s="102">
        <v>0.10704737640663708</v>
      </c>
    </row>
    <row r="2172" spans="2:4" x14ac:dyDescent="0.25">
      <c r="B2172" s="61">
        <v>2139</v>
      </c>
      <c r="C2172" s="61">
        <v>438735.09018728102</v>
      </c>
      <c r="D2172" s="102">
        <v>0.38714257122950335</v>
      </c>
    </row>
    <row r="2173" spans="2:4" x14ac:dyDescent="0.25">
      <c r="B2173" s="61">
        <v>2140</v>
      </c>
      <c r="C2173" s="61">
        <v>67510.030759292946</v>
      </c>
      <c r="D2173" s="102">
        <v>0.12099773064965369</v>
      </c>
    </row>
    <row r="2174" spans="2:4" x14ac:dyDescent="0.25">
      <c r="B2174" s="61">
        <v>2141</v>
      </c>
      <c r="C2174" s="61">
        <v>252025.57420500356</v>
      </c>
      <c r="D2174" s="102">
        <v>0.22928411414530769</v>
      </c>
    </row>
    <row r="2175" spans="2:4" x14ac:dyDescent="0.25">
      <c r="B2175" s="61">
        <v>2142</v>
      </c>
      <c r="C2175" s="61">
        <v>473719.66333860031</v>
      </c>
      <c r="D2175" s="102">
        <v>0.36627100381452582</v>
      </c>
    </row>
    <row r="2176" spans="2:4" x14ac:dyDescent="0.25">
      <c r="B2176" s="61">
        <v>2143</v>
      </c>
      <c r="C2176" s="61">
        <v>242468.3447915205</v>
      </c>
      <c r="D2176" s="102">
        <v>0.26663781864143465</v>
      </c>
    </row>
    <row r="2177" spans="2:4" x14ac:dyDescent="0.25">
      <c r="B2177" s="61">
        <v>2144</v>
      </c>
      <c r="C2177" s="61">
        <v>251612.40738678351</v>
      </c>
      <c r="D2177" s="102">
        <v>0.25361595805312453</v>
      </c>
    </row>
    <row r="2178" spans="2:4" x14ac:dyDescent="0.25">
      <c r="B2178" s="61">
        <v>2145</v>
      </c>
      <c r="C2178" s="61">
        <v>140803.939235667</v>
      </c>
      <c r="D2178" s="102">
        <v>0.19948061602849387</v>
      </c>
    </row>
    <row r="2179" spans="2:4" x14ac:dyDescent="0.25">
      <c r="B2179" s="61">
        <v>2146</v>
      </c>
      <c r="C2179" s="61">
        <v>350547.93619797751</v>
      </c>
      <c r="D2179" s="102">
        <v>0.34083294651193685</v>
      </c>
    </row>
    <row r="2180" spans="2:4" x14ac:dyDescent="0.25">
      <c r="B2180" s="61">
        <v>2147</v>
      </c>
      <c r="C2180" s="61">
        <v>238724.76295643148</v>
      </c>
      <c r="D2180" s="102">
        <v>0.24997821850127022</v>
      </c>
    </row>
    <row r="2181" spans="2:4" x14ac:dyDescent="0.25">
      <c r="B2181" s="61">
        <v>2148</v>
      </c>
      <c r="C2181" s="61">
        <v>139358.73152547353</v>
      </c>
      <c r="D2181" s="102">
        <v>0.1963414119575202</v>
      </c>
    </row>
    <row r="2182" spans="2:4" x14ac:dyDescent="0.25">
      <c r="B2182" s="61">
        <v>2149</v>
      </c>
      <c r="C2182" s="61">
        <v>407101.18788615684</v>
      </c>
      <c r="D2182" s="102">
        <v>0.37768669105232178</v>
      </c>
    </row>
    <row r="2183" spans="2:4" x14ac:dyDescent="0.25">
      <c r="B2183" s="61">
        <v>2150</v>
      </c>
      <c r="C2183" s="61">
        <v>383381.60974594019</v>
      </c>
      <c r="D2183" s="102">
        <v>0.3681081007041207</v>
      </c>
    </row>
    <row r="2184" spans="2:4" x14ac:dyDescent="0.25">
      <c r="B2184" s="61">
        <v>2151</v>
      </c>
      <c r="C2184" s="61">
        <v>244810.39567506581</v>
      </c>
      <c r="D2184" s="102">
        <v>0.28296108543657383</v>
      </c>
    </row>
    <row r="2185" spans="2:4" x14ac:dyDescent="0.25">
      <c r="B2185" s="61">
        <v>2152</v>
      </c>
      <c r="C2185" s="61">
        <v>156541.39453537075</v>
      </c>
      <c r="D2185" s="102">
        <v>0.17146863481969477</v>
      </c>
    </row>
    <row r="2186" spans="2:4" x14ac:dyDescent="0.25">
      <c r="B2186" s="61">
        <v>2153</v>
      </c>
      <c r="C2186" s="61">
        <v>159582.65639929299</v>
      </c>
      <c r="D2186" s="102">
        <v>0.17913596186047798</v>
      </c>
    </row>
    <row r="2187" spans="2:4" x14ac:dyDescent="0.25">
      <c r="B2187" s="61">
        <v>2154</v>
      </c>
      <c r="C2187" s="61">
        <v>309816.11775733833</v>
      </c>
      <c r="D2187" s="102">
        <v>0.36545444524461779</v>
      </c>
    </row>
    <row r="2188" spans="2:4" x14ac:dyDescent="0.25">
      <c r="B2188" s="61">
        <v>2155</v>
      </c>
      <c r="C2188" s="61">
        <v>531170.10823455302</v>
      </c>
      <c r="D2188" s="102">
        <v>0.47052120551711574</v>
      </c>
    </row>
    <row r="2189" spans="2:4" x14ac:dyDescent="0.25">
      <c r="B2189" s="61">
        <v>2156</v>
      </c>
      <c r="C2189" s="61">
        <v>280853.32454508077</v>
      </c>
      <c r="D2189" s="102">
        <v>0.23447915123674368</v>
      </c>
    </row>
    <row r="2190" spans="2:4" x14ac:dyDescent="0.25">
      <c r="B2190" s="61">
        <v>2157</v>
      </c>
      <c r="C2190" s="61">
        <v>321029.3927376325</v>
      </c>
      <c r="D2190" s="102">
        <v>0.27337515594134931</v>
      </c>
    </row>
    <row r="2191" spans="2:4" x14ac:dyDescent="0.25">
      <c r="B2191" s="61">
        <v>2158</v>
      </c>
      <c r="C2191" s="61">
        <v>199642.94117552578</v>
      </c>
      <c r="D2191" s="102">
        <v>0.24458066461115324</v>
      </c>
    </row>
    <row r="2192" spans="2:4" x14ac:dyDescent="0.25">
      <c r="B2192" s="61">
        <v>2159</v>
      </c>
      <c r="C2192" s="61">
        <v>435177.36487280834</v>
      </c>
      <c r="D2192" s="102">
        <v>0.40418461469228339</v>
      </c>
    </row>
    <row r="2193" spans="2:4" x14ac:dyDescent="0.25">
      <c r="B2193" s="61">
        <v>2160</v>
      </c>
      <c r="C2193" s="61">
        <v>92945.117781125766</v>
      </c>
      <c r="D2193" s="102">
        <v>0.12139318484222383</v>
      </c>
    </row>
    <row r="2194" spans="2:4" x14ac:dyDescent="0.25">
      <c r="B2194" s="61">
        <v>2161</v>
      </c>
      <c r="C2194" s="61">
        <v>176360.21905478858</v>
      </c>
      <c r="D2194" s="102">
        <v>0.19798620306889658</v>
      </c>
    </row>
    <row r="2195" spans="2:4" x14ac:dyDescent="0.25">
      <c r="B2195" s="61">
        <v>2162</v>
      </c>
      <c r="C2195" s="61">
        <v>460203.97537846316</v>
      </c>
      <c r="D2195" s="102">
        <v>0.42699141439411092</v>
      </c>
    </row>
    <row r="2196" spans="2:4" x14ac:dyDescent="0.25">
      <c r="B2196" s="61">
        <v>2163</v>
      </c>
      <c r="C2196" s="61">
        <v>179272.4606926979</v>
      </c>
      <c r="D2196" s="102">
        <v>0.19456292851344625</v>
      </c>
    </row>
    <row r="2197" spans="2:4" x14ac:dyDescent="0.25">
      <c r="B2197" s="61">
        <v>2164</v>
      </c>
      <c r="C2197" s="61">
        <v>208257.07376377855</v>
      </c>
      <c r="D2197" s="102">
        <v>0.25375098420181064</v>
      </c>
    </row>
    <row r="2198" spans="2:4" x14ac:dyDescent="0.25">
      <c r="B2198" s="61">
        <v>2165</v>
      </c>
      <c r="C2198" s="61">
        <v>223629.4013363854</v>
      </c>
      <c r="D2198" s="102">
        <v>0.22175350954938078</v>
      </c>
    </row>
    <row r="2199" spans="2:4" x14ac:dyDescent="0.25">
      <c r="B2199" s="61">
        <v>2166</v>
      </c>
      <c r="C2199" s="61">
        <v>349249.96605556295</v>
      </c>
      <c r="D2199" s="102">
        <v>0.28618803448944585</v>
      </c>
    </row>
    <row r="2200" spans="2:4" x14ac:dyDescent="0.25">
      <c r="B2200" s="61">
        <v>2167</v>
      </c>
      <c r="C2200" s="61">
        <v>156302.87212968065</v>
      </c>
      <c r="D2200" s="102">
        <v>0.19301781518427163</v>
      </c>
    </row>
    <row r="2201" spans="2:4" x14ac:dyDescent="0.25">
      <c r="B2201" s="61">
        <v>2168</v>
      </c>
      <c r="C2201" s="61">
        <v>454696.62350850925</v>
      </c>
      <c r="D2201" s="102">
        <v>0.3802278186370649</v>
      </c>
    </row>
    <row r="2202" spans="2:4" x14ac:dyDescent="0.25">
      <c r="B2202" s="61">
        <v>2169</v>
      </c>
      <c r="C2202" s="61">
        <v>591097.26082242955</v>
      </c>
      <c r="D2202" s="102">
        <v>0.48724335355603365</v>
      </c>
    </row>
    <row r="2203" spans="2:4" x14ac:dyDescent="0.25">
      <c r="B2203" s="61">
        <v>2170</v>
      </c>
      <c r="C2203" s="61">
        <v>34237.715454136836</v>
      </c>
      <c r="D2203" s="102">
        <v>9.9278332443720974E-2</v>
      </c>
    </row>
    <row r="2204" spans="2:4" x14ac:dyDescent="0.25">
      <c r="B2204" s="61">
        <v>2171</v>
      </c>
      <c r="C2204" s="61">
        <v>234950.79433555517</v>
      </c>
      <c r="D2204" s="102">
        <v>0.2524306981568063</v>
      </c>
    </row>
    <row r="2205" spans="2:4" x14ac:dyDescent="0.25">
      <c r="B2205" s="61">
        <v>2172</v>
      </c>
      <c r="C2205" s="61">
        <v>287152.53405822872</v>
      </c>
      <c r="D2205" s="102">
        <v>0.29262694674304335</v>
      </c>
    </row>
    <row r="2206" spans="2:4" x14ac:dyDescent="0.25">
      <c r="B2206" s="61">
        <v>2173</v>
      </c>
      <c r="C2206" s="61">
        <v>270945.54881711549</v>
      </c>
      <c r="D2206" s="102">
        <v>0.29898007467177101</v>
      </c>
    </row>
    <row r="2207" spans="2:4" x14ac:dyDescent="0.25">
      <c r="B2207" s="61">
        <v>2174</v>
      </c>
      <c r="C2207" s="61">
        <v>391341.34147482843</v>
      </c>
      <c r="D2207" s="102">
        <v>0.33574530690377058</v>
      </c>
    </row>
    <row r="2208" spans="2:4" x14ac:dyDescent="0.25">
      <c r="B2208" s="61">
        <v>2175</v>
      </c>
      <c r="C2208" s="61">
        <v>299030.99026479677</v>
      </c>
      <c r="D2208" s="102">
        <v>0.32138033856528825</v>
      </c>
    </row>
    <row r="2209" spans="2:4" x14ac:dyDescent="0.25">
      <c r="B2209" s="61">
        <v>2176</v>
      </c>
      <c r="C2209" s="61">
        <v>182817.2260645791</v>
      </c>
      <c r="D2209" s="102">
        <v>0.20862504432248485</v>
      </c>
    </row>
    <row r="2210" spans="2:4" x14ac:dyDescent="0.25">
      <c r="B2210" s="61">
        <v>2177</v>
      </c>
      <c r="C2210" s="61">
        <v>194136.29965985345</v>
      </c>
      <c r="D2210" s="102">
        <v>0.1946506530326686</v>
      </c>
    </row>
    <row r="2211" spans="2:4" x14ac:dyDescent="0.25">
      <c r="B2211" s="61">
        <v>2178</v>
      </c>
      <c r="C2211" s="61">
        <v>364946.09608475224</v>
      </c>
      <c r="D2211" s="102">
        <v>0.35445754598401957</v>
      </c>
    </row>
    <row r="2212" spans="2:4" x14ac:dyDescent="0.25">
      <c r="B2212" s="61">
        <v>2179</v>
      </c>
      <c r="C2212" s="61">
        <v>264097.75222254207</v>
      </c>
      <c r="D2212" s="102">
        <v>0.27663248076353053</v>
      </c>
    </row>
    <row r="2213" spans="2:4" x14ac:dyDescent="0.25">
      <c r="B2213" s="61">
        <v>2180</v>
      </c>
      <c r="C2213" s="61">
        <v>234344.48496315337</v>
      </c>
      <c r="D2213" s="102">
        <v>0.21228553360994007</v>
      </c>
    </row>
    <row r="2214" spans="2:4" x14ac:dyDescent="0.25">
      <c r="B2214" s="61">
        <v>2181</v>
      </c>
      <c r="C2214" s="61">
        <v>539514.48460452026</v>
      </c>
      <c r="D2214" s="102">
        <v>0.5044537500392996</v>
      </c>
    </row>
    <row r="2215" spans="2:4" x14ac:dyDescent="0.25">
      <c r="B2215" s="61">
        <v>2182</v>
      </c>
      <c r="C2215" s="61">
        <v>318771.84575463075</v>
      </c>
      <c r="D2215" s="102">
        <v>0.35083068379263826</v>
      </c>
    </row>
    <row r="2216" spans="2:4" x14ac:dyDescent="0.25">
      <c r="B2216" s="61">
        <v>2183</v>
      </c>
      <c r="C2216" s="61">
        <v>264329.57612935931</v>
      </c>
      <c r="D2216" s="102">
        <v>0.29615083912558626</v>
      </c>
    </row>
    <row r="2217" spans="2:4" x14ac:dyDescent="0.25">
      <c r="B2217" s="61">
        <v>2184</v>
      </c>
      <c r="C2217" s="61">
        <v>307334.88758045237</v>
      </c>
      <c r="D2217" s="102">
        <v>0.35702330152315054</v>
      </c>
    </row>
    <row r="2218" spans="2:4" x14ac:dyDescent="0.25">
      <c r="B2218" s="61">
        <v>2185</v>
      </c>
      <c r="C2218" s="61">
        <v>410906.5725909312</v>
      </c>
      <c r="D2218" s="102">
        <v>0.36813095465420909</v>
      </c>
    </row>
    <row r="2219" spans="2:4" x14ac:dyDescent="0.25">
      <c r="B2219" s="61">
        <v>2186</v>
      </c>
      <c r="C2219" s="61">
        <v>93464.745624683914</v>
      </c>
      <c r="D2219" s="102">
        <v>0.13169691643716952</v>
      </c>
    </row>
    <row r="2220" spans="2:4" x14ac:dyDescent="0.25">
      <c r="B2220" s="61">
        <v>2187</v>
      </c>
      <c r="C2220" s="61">
        <v>252622.24648037122</v>
      </c>
      <c r="D2220" s="102">
        <v>0.28764154049234447</v>
      </c>
    </row>
    <row r="2221" spans="2:4" x14ac:dyDescent="0.25">
      <c r="B2221" s="61">
        <v>2188</v>
      </c>
      <c r="C2221" s="61">
        <v>288867.50484968198</v>
      </c>
      <c r="D2221" s="102">
        <v>0.24588166160889613</v>
      </c>
    </row>
    <row r="2222" spans="2:4" x14ac:dyDescent="0.25">
      <c r="B2222" s="61">
        <v>2189</v>
      </c>
      <c r="C2222" s="61">
        <v>305066.21962981147</v>
      </c>
      <c r="D2222" s="102">
        <v>0.34869757784217992</v>
      </c>
    </row>
    <row r="2223" spans="2:4" x14ac:dyDescent="0.25">
      <c r="B2223" s="61">
        <v>2190</v>
      </c>
      <c r="C2223" s="61">
        <v>351593.46776118025</v>
      </c>
      <c r="D2223" s="102">
        <v>0.36139125394719374</v>
      </c>
    </row>
    <row r="2224" spans="2:4" x14ac:dyDescent="0.25">
      <c r="B2224" s="61">
        <v>2191</v>
      </c>
      <c r="C2224" s="61">
        <v>208316.64653960417</v>
      </c>
      <c r="D2224" s="102">
        <v>0.26738569259817635</v>
      </c>
    </row>
    <row r="2225" spans="2:4" x14ac:dyDescent="0.25">
      <c r="B2225" s="61">
        <v>2192</v>
      </c>
      <c r="C2225" s="61">
        <v>301212.81056421914</v>
      </c>
      <c r="D2225" s="102">
        <v>0.28915793168687243</v>
      </c>
    </row>
    <row r="2226" spans="2:4" x14ac:dyDescent="0.25">
      <c r="B2226" s="61">
        <v>2193</v>
      </c>
      <c r="C2226" s="61">
        <v>236868.22708954767</v>
      </c>
      <c r="D2226" s="102">
        <v>0.21948296346840213</v>
      </c>
    </row>
    <row r="2227" spans="2:4" x14ac:dyDescent="0.25">
      <c r="B2227" s="61">
        <v>2194</v>
      </c>
      <c r="C2227" s="61">
        <v>228657.95871240727</v>
      </c>
      <c r="D2227" s="102">
        <v>0.23942340645792703</v>
      </c>
    </row>
    <row r="2228" spans="2:4" x14ac:dyDescent="0.25">
      <c r="B2228" s="61">
        <v>2195</v>
      </c>
      <c r="C2228" s="61">
        <v>100265.43584668852</v>
      </c>
      <c r="D2228" s="102">
        <v>0.14208816638024135</v>
      </c>
    </row>
    <row r="2229" spans="2:4" x14ac:dyDescent="0.25">
      <c r="B2229" s="61">
        <v>2196</v>
      </c>
      <c r="C2229" s="61">
        <v>226807.60304700176</v>
      </c>
      <c r="D2229" s="102">
        <v>0.22953694275005088</v>
      </c>
    </row>
    <row r="2230" spans="2:4" x14ac:dyDescent="0.25">
      <c r="B2230" s="61">
        <v>2197</v>
      </c>
      <c r="C2230" s="61">
        <v>178424.93367448612</v>
      </c>
      <c r="D2230" s="102">
        <v>0.1965345428775076</v>
      </c>
    </row>
    <row r="2231" spans="2:4" x14ac:dyDescent="0.25">
      <c r="B2231" s="61">
        <v>2198</v>
      </c>
      <c r="C2231" s="61">
        <v>279339.26184493722</v>
      </c>
      <c r="D2231" s="102">
        <v>0.28103073133948975</v>
      </c>
    </row>
    <row r="2232" spans="2:4" x14ac:dyDescent="0.25">
      <c r="B2232" s="61">
        <v>2199</v>
      </c>
      <c r="C2232" s="61">
        <v>71997.733031512355</v>
      </c>
      <c r="D2232" s="102">
        <v>0.12378671455727597</v>
      </c>
    </row>
    <row r="2233" spans="2:4" x14ac:dyDescent="0.25">
      <c r="B2233" s="61">
        <v>2200</v>
      </c>
      <c r="C2233" s="61">
        <v>486299.2582531448</v>
      </c>
      <c r="D2233" s="102">
        <v>0.45431122188821438</v>
      </c>
    </row>
    <row r="2234" spans="2:4" x14ac:dyDescent="0.25">
      <c r="B2234" s="61">
        <v>2201</v>
      </c>
      <c r="C2234" s="61">
        <v>556081.94593641465</v>
      </c>
      <c r="D2234" s="102">
        <v>0.48067823011231292</v>
      </c>
    </row>
    <row r="2235" spans="2:4" x14ac:dyDescent="0.25">
      <c r="B2235" s="61">
        <v>2202</v>
      </c>
      <c r="C2235" s="61">
        <v>103774.58580867428</v>
      </c>
      <c r="D2235" s="102">
        <v>0.15482033294462161</v>
      </c>
    </row>
    <row r="2236" spans="2:4" x14ac:dyDescent="0.25">
      <c r="B2236" s="61">
        <v>2203</v>
      </c>
      <c r="C2236" s="61">
        <v>114595.97623791103</v>
      </c>
      <c r="D2236" s="102">
        <v>0.16919877133427108</v>
      </c>
    </row>
    <row r="2237" spans="2:4" x14ac:dyDescent="0.25">
      <c r="B2237" s="61">
        <v>2204</v>
      </c>
      <c r="C2237" s="61">
        <v>13592.837161916133</v>
      </c>
      <c r="D2237" s="102">
        <v>7.6393040955212044E-2</v>
      </c>
    </row>
    <row r="2238" spans="2:4" x14ac:dyDescent="0.25">
      <c r="B2238" s="61">
        <v>2205</v>
      </c>
      <c r="C2238" s="61">
        <v>-32117.614457347139</v>
      </c>
      <c r="D2238" s="102">
        <v>3.1626440070072981E-2</v>
      </c>
    </row>
    <row r="2239" spans="2:4" x14ac:dyDescent="0.25">
      <c r="B2239" s="61">
        <v>2206</v>
      </c>
      <c r="C2239" s="61">
        <v>229007.63797483104</v>
      </c>
      <c r="D2239" s="102">
        <v>0.21423307187051188</v>
      </c>
    </row>
    <row r="2240" spans="2:4" x14ac:dyDescent="0.25">
      <c r="B2240" s="61">
        <v>2207</v>
      </c>
      <c r="C2240" s="61">
        <v>70187.19890968781</v>
      </c>
      <c r="D2240" s="102">
        <v>0.12957808379967983</v>
      </c>
    </row>
    <row r="2241" spans="2:4" x14ac:dyDescent="0.25">
      <c r="B2241" s="61">
        <v>2208</v>
      </c>
      <c r="C2241" s="61">
        <v>177878.681498789</v>
      </c>
      <c r="D2241" s="102">
        <v>0.19849094541641121</v>
      </c>
    </row>
    <row r="2242" spans="2:4" x14ac:dyDescent="0.25">
      <c r="B2242" s="61">
        <v>2209</v>
      </c>
      <c r="C2242" s="61">
        <v>128840.19353205553</v>
      </c>
      <c r="D2242" s="102">
        <v>0.18082201523919994</v>
      </c>
    </row>
    <row r="2243" spans="2:4" x14ac:dyDescent="0.25">
      <c r="B2243" s="61">
        <v>2210</v>
      </c>
      <c r="C2243" s="61">
        <v>417570.34968889446</v>
      </c>
      <c r="D2243" s="102">
        <v>0.41385498333373394</v>
      </c>
    </row>
    <row r="2244" spans="2:4" x14ac:dyDescent="0.25">
      <c r="B2244" s="61">
        <v>2211</v>
      </c>
      <c r="C2244" s="61">
        <v>429808.22548906249</v>
      </c>
      <c r="D2244" s="102">
        <v>0.35506788021108604</v>
      </c>
    </row>
    <row r="2245" spans="2:4" x14ac:dyDescent="0.25">
      <c r="B2245" s="61">
        <v>2212</v>
      </c>
      <c r="C2245" s="61">
        <v>375475.00463205902</v>
      </c>
      <c r="D2245" s="102">
        <v>0.3719158129704736</v>
      </c>
    </row>
    <row r="2246" spans="2:4" x14ac:dyDescent="0.25">
      <c r="B2246" s="61">
        <v>2213</v>
      </c>
      <c r="C2246" s="61">
        <v>239319.10931022407</v>
      </c>
      <c r="D2246" s="102">
        <v>0.24455287924618418</v>
      </c>
    </row>
    <row r="2247" spans="2:4" x14ac:dyDescent="0.25">
      <c r="B2247" s="61">
        <v>2214</v>
      </c>
      <c r="C2247" s="61">
        <v>84494.934279827576</v>
      </c>
      <c r="D2247" s="102">
        <v>0.14191742045895817</v>
      </c>
    </row>
    <row r="2248" spans="2:4" x14ac:dyDescent="0.25">
      <c r="B2248" s="61">
        <v>2215</v>
      </c>
      <c r="C2248" s="61">
        <v>225573.9112073665</v>
      </c>
      <c r="D2248" s="102">
        <v>0.23817928504076735</v>
      </c>
    </row>
    <row r="2249" spans="2:4" x14ac:dyDescent="0.25">
      <c r="B2249" s="61">
        <v>2216</v>
      </c>
      <c r="C2249" s="61">
        <v>375685.59163803572</v>
      </c>
      <c r="D2249" s="102">
        <v>0.32004306412316197</v>
      </c>
    </row>
    <row r="2250" spans="2:4" x14ac:dyDescent="0.25">
      <c r="B2250" s="61">
        <v>2217</v>
      </c>
      <c r="C2250" s="61">
        <v>434074.93749544583</v>
      </c>
      <c r="D2250" s="102">
        <v>0.48297528867027761</v>
      </c>
    </row>
    <row r="2251" spans="2:4" x14ac:dyDescent="0.25">
      <c r="B2251" s="61">
        <v>2218</v>
      </c>
      <c r="C2251" s="61">
        <v>212721.80265709036</v>
      </c>
      <c r="D2251" s="102">
        <v>0.21121916649914163</v>
      </c>
    </row>
    <row r="2252" spans="2:4" x14ac:dyDescent="0.25">
      <c r="B2252" s="61">
        <v>2219</v>
      </c>
      <c r="C2252" s="61">
        <v>148750.17534262303</v>
      </c>
      <c r="D2252" s="102">
        <v>0.15282064881584834</v>
      </c>
    </row>
    <row r="2253" spans="2:4" x14ac:dyDescent="0.25">
      <c r="B2253" s="61">
        <v>2220</v>
      </c>
      <c r="C2253" s="61">
        <v>306973.50856111338</v>
      </c>
      <c r="D2253" s="102">
        <v>0.30528731096158257</v>
      </c>
    </row>
    <row r="2254" spans="2:4" x14ac:dyDescent="0.25">
      <c r="B2254" s="61">
        <v>2221</v>
      </c>
      <c r="C2254" s="61">
        <v>466717.07067282998</v>
      </c>
      <c r="D2254" s="102">
        <v>0.44266842292753683</v>
      </c>
    </row>
    <row r="2255" spans="2:4" x14ac:dyDescent="0.25">
      <c r="B2255" s="61">
        <v>2222</v>
      </c>
      <c r="C2255" s="61">
        <v>124255.79103661393</v>
      </c>
      <c r="D2255" s="102">
        <v>0.16642247839779745</v>
      </c>
    </row>
    <row r="2256" spans="2:4" x14ac:dyDescent="0.25">
      <c r="B2256" s="61">
        <v>2223</v>
      </c>
      <c r="C2256" s="61">
        <v>168375.83977572422</v>
      </c>
      <c r="D2256" s="102">
        <v>0.18169836950662832</v>
      </c>
    </row>
    <row r="2257" spans="2:4" x14ac:dyDescent="0.25">
      <c r="B2257" s="61">
        <v>2224</v>
      </c>
      <c r="C2257" s="61">
        <v>289510.01218123233</v>
      </c>
      <c r="D2257" s="102">
        <v>0.29265433988095979</v>
      </c>
    </row>
    <row r="2258" spans="2:4" x14ac:dyDescent="0.25">
      <c r="B2258" s="61">
        <v>2225</v>
      </c>
      <c r="C2258" s="61">
        <v>380125.64250881504</v>
      </c>
      <c r="D2258" s="102">
        <v>0.38176935960257441</v>
      </c>
    </row>
    <row r="2259" spans="2:4" x14ac:dyDescent="0.25">
      <c r="B2259" s="61">
        <v>2226</v>
      </c>
      <c r="C2259" s="61">
        <v>104117.62935714261</v>
      </c>
      <c r="D2259" s="102">
        <v>0.14760432539273838</v>
      </c>
    </row>
    <row r="2260" spans="2:4" x14ac:dyDescent="0.25">
      <c r="B2260" s="61">
        <v>2227</v>
      </c>
      <c r="C2260" s="61">
        <v>90393.853782411548</v>
      </c>
      <c r="D2260" s="102">
        <v>0.14664211189298038</v>
      </c>
    </row>
    <row r="2261" spans="2:4" x14ac:dyDescent="0.25">
      <c r="B2261" s="61">
        <v>2228</v>
      </c>
      <c r="C2261" s="61">
        <v>351157.1274882548</v>
      </c>
      <c r="D2261" s="102">
        <v>0.28739935196234301</v>
      </c>
    </row>
    <row r="2262" spans="2:4" x14ac:dyDescent="0.25">
      <c r="B2262" s="61">
        <v>2229</v>
      </c>
      <c r="C2262" s="61">
        <v>285679.80603597639</v>
      </c>
      <c r="D2262" s="102">
        <v>0.32887821852561938</v>
      </c>
    </row>
    <row r="2263" spans="2:4" x14ac:dyDescent="0.25">
      <c r="B2263" s="61">
        <v>2230</v>
      </c>
      <c r="C2263" s="61">
        <v>362371.52259578346</v>
      </c>
      <c r="D2263" s="102">
        <v>0.35597907448542854</v>
      </c>
    </row>
    <row r="2264" spans="2:4" x14ac:dyDescent="0.25">
      <c r="B2264" s="61">
        <v>2231</v>
      </c>
      <c r="C2264" s="61">
        <v>358158.4074090895</v>
      </c>
      <c r="D2264" s="102">
        <v>0.40488427322156273</v>
      </c>
    </row>
    <row r="2265" spans="2:4" x14ac:dyDescent="0.25">
      <c r="B2265" s="61">
        <v>2232</v>
      </c>
      <c r="C2265" s="61">
        <v>299543.99150635221</v>
      </c>
      <c r="D2265" s="102">
        <v>0.27163127927021002</v>
      </c>
    </row>
    <row r="2266" spans="2:4" x14ac:dyDescent="0.25">
      <c r="B2266" s="61">
        <v>2233</v>
      </c>
      <c r="C2266" s="61">
        <v>284869.38822084607</v>
      </c>
      <c r="D2266" s="102">
        <v>0.25508782431506472</v>
      </c>
    </row>
    <row r="2267" spans="2:4" x14ac:dyDescent="0.25">
      <c r="B2267" s="61">
        <v>2234</v>
      </c>
      <c r="C2267" s="61">
        <v>184574.84522689658</v>
      </c>
      <c r="D2267" s="102">
        <v>0.20312696449267342</v>
      </c>
    </row>
    <row r="2268" spans="2:4" x14ac:dyDescent="0.25">
      <c r="B2268" s="61">
        <v>2235</v>
      </c>
      <c r="C2268" s="61">
        <v>404901.70054898877</v>
      </c>
      <c r="D2268" s="102">
        <v>0.36868067609168587</v>
      </c>
    </row>
    <row r="2269" spans="2:4" x14ac:dyDescent="0.25">
      <c r="B2269" s="61">
        <v>2236</v>
      </c>
      <c r="C2269" s="61">
        <v>426104.07538611733</v>
      </c>
      <c r="D2269" s="102">
        <v>0.32929538453381957</v>
      </c>
    </row>
    <row r="2270" spans="2:4" x14ac:dyDescent="0.25">
      <c r="B2270" s="61">
        <v>2237</v>
      </c>
      <c r="C2270" s="61">
        <v>350679.03194653487</v>
      </c>
      <c r="D2270" s="102">
        <v>0.32431266009565363</v>
      </c>
    </row>
    <row r="2271" spans="2:4" x14ac:dyDescent="0.25">
      <c r="B2271" s="61">
        <v>2238</v>
      </c>
      <c r="C2271" s="61">
        <v>117237.83574691677</v>
      </c>
      <c r="D2271" s="102">
        <v>0.17085318281474637</v>
      </c>
    </row>
    <row r="2272" spans="2:4" x14ac:dyDescent="0.25">
      <c r="B2272" s="61">
        <v>2239</v>
      </c>
      <c r="C2272" s="61">
        <v>-15929.262112452183</v>
      </c>
      <c r="D2272" s="102">
        <v>5.1737551691380057E-2</v>
      </c>
    </row>
    <row r="2273" spans="2:4" x14ac:dyDescent="0.25">
      <c r="B2273" s="61">
        <v>2240</v>
      </c>
      <c r="C2273" s="61">
        <v>135341.28146413917</v>
      </c>
      <c r="D2273" s="102">
        <v>0.17722148405495708</v>
      </c>
    </row>
    <row r="2274" spans="2:4" x14ac:dyDescent="0.25">
      <c r="B2274" s="61">
        <v>2241</v>
      </c>
      <c r="C2274" s="61">
        <v>266604.99115611287</v>
      </c>
      <c r="D2274" s="102">
        <v>0.27214672259408479</v>
      </c>
    </row>
    <row r="2275" spans="2:4" x14ac:dyDescent="0.25">
      <c r="B2275" s="61">
        <v>2242</v>
      </c>
      <c r="C2275" s="61">
        <v>141139.47476627008</v>
      </c>
      <c r="D2275" s="102">
        <v>0.16588371625058596</v>
      </c>
    </row>
    <row r="2276" spans="2:4" x14ac:dyDescent="0.25">
      <c r="B2276" s="61">
        <v>2243</v>
      </c>
      <c r="C2276" s="61">
        <v>277165.863854856</v>
      </c>
      <c r="D2276" s="102">
        <v>0.25708252852015656</v>
      </c>
    </row>
    <row r="2277" spans="2:4" x14ac:dyDescent="0.25">
      <c r="B2277" s="61">
        <v>2244</v>
      </c>
      <c r="C2277" s="61">
        <v>375271.92599485407</v>
      </c>
      <c r="D2277" s="102">
        <v>0.39213457562759735</v>
      </c>
    </row>
    <row r="2278" spans="2:4" x14ac:dyDescent="0.25">
      <c r="B2278" s="61">
        <v>2245</v>
      </c>
      <c r="C2278" s="61">
        <v>414552.63004801178</v>
      </c>
      <c r="D2278" s="102">
        <v>0.36167670396554397</v>
      </c>
    </row>
    <row r="2279" spans="2:4" x14ac:dyDescent="0.25">
      <c r="B2279" s="61">
        <v>2246</v>
      </c>
      <c r="C2279" s="61">
        <v>63636.269278585445</v>
      </c>
      <c r="D2279" s="102">
        <v>0.11572286060003845</v>
      </c>
    </row>
    <row r="2280" spans="2:4" x14ac:dyDescent="0.25">
      <c r="B2280" s="61">
        <v>2247</v>
      </c>
      <c r="C2280" s="61">
        <v>311608.68882315513</v>
      </c>
      <c r="D2280" s="102">
        <v>0.29334839296122683</v>
      </c>
    </row>
    <row r="2281" spans="2:4" x14ac:dyDescent="0.25">
      <c r="B2281" s="61">
        <v>2248</v>
      </c>
      <c r="C2281" s="61">
        <v>152407.04074002453</v>
      </c>
      <c r="D2281" s="102">
        <v>0.17687022715080114</v>
      </c>
    </row>
    <row r="2282" spans="2:4" x14ac:dyDescent="0.25">
      <c r="B2282" s="61">
        <v>2249</v>
      </c>
      <c r="C2282" s="61">
        <v>310813.08566963696</v>
      </c>
      <c r="D2282" s="102">
        <v>0.33115490537894821</v>
      </c>
    </row>
    <row r="2283" spans="2:4" x14ac:dyDescent="0.25">
      <c r="B2283" s="61">
        <v>2250</v>
      </c>
      <c r="C2283" s="61">
        <v>273783.79099018348</v>
      </c>
      <c r="D2283" s="102">
        <v>0.27530879869739233</v>
      </c>
    </row>
    <row r="2284" spans="2:4" x14ac:dyDescent="0.25">
      <c r="B2284" s="61">
        <v>2251</v>
      </c>
      <c r="C2284" s="61">
        <v>362339.96377852827</v>
      </c>
      <c r="D2284" s="102">
        <v>0.36099115370927137</v>
      </c>
    </row>
    <row r="2285" spans="2:4" x14ac:dyDescent="0.25">
      <c r="B2285" s="61">
        <v>2252</v>
      </c>
      <c r="C2285" s="61">
        <v>330183.74482994073</v>
      </c>
      <c r="D2285" s="102">
        <v>0.2852804007095886</v>
      </c>
    </row>
    <row r="2286" spans="2:4" x14ac:dyDescent="0.25">
      <c r="B2286" s="61">
        <v>2253</v>
      </c>
      <c r="C2286" s="61">
        <v>342254.62188001245</v>
      </c>
      <c r="D2286" s="102">
        <v>0.33434141157812247</v>
      </c>
    </row>
    <row r="2287" spans="2:4" x14ac:dyDescent="0.25">
      <c r="B2287" s="61">
        <v>2254</v>
      </c>
      <c r="C2287" s="61">
        <v>482922.06765192701</v>
      </c>
      <c r="D2287" s="102">
        <v>0.38482398755294955</v>
      </c>
    </row>
    <row r="2288" spans="2:4" x14ac:dyDescent="0.25">
      <c r="B2288" s="61">
        <v>2255</v>
      </c>
      <c r="C2288" s="61">
        <v>250986.19313681312</v>
      </c>
      <c r="D2288" s="102">
        <v>0.26217571149909547</v>
      </c>
    </row>
    <row r="2289" spans="2:4" x14ac:dyDescent="0.25">
      <c r="B2289" s="61">
        <v>2256</v>
      </c>
      <c r="C2289" s="61">
        <v>385527.77761872369</v>
      </c>
      <c r="D2289" s="102">
        <v>0.33942009021311748</v>
      </c>
    </row>
    <row r="2290" spans="2:4" x14ac:dyDescent="0.25">
      <c r="B2290" s="61">
        <v>2257</v>
      </c>
      <c r="C2290" s="61">
        <v>372530.78746686922</v>
      </c>
      <c r="D2290" s="102">
        <v>0.34420443105791021</v>
      </c>
    </row>
    <row r="2291" spans="2:4" x14ac:dyDescent="0.25">
      <c r="B2291" s="61">
        <v>2258</v>
      </c>
      <c r="C2291" s="61">
        <v>37513.342840353143</v>
      </c>
      <c r="D2291" s="102">
        <v>8.7803615034503402E-2</v>
      </c>
    </row>
    <row r="2292" spans="2:4" x14ac:dyDescent="0.25">
      <c r="B2292" s="61">
        <v>2259</v>
      </c>
      <c r="C2292" s="61">
        <v>178262.29522297427</v>
      </c>
      <c r="D2292" s="102">
        <v>0.21186703778427685</v>
      </c>
    </row>
    <row r="2293" spans="2:4" x14ac:dyDescent="0.25">
      <c r="B2293" s="61">
        <v>2260</v>
      </c>
      <c r="C2293" s="61">
        <v>370735.36850141175</v>
      </c>
      <c r="D2293" s="102">
        <v>0.36518103959967041</v>
      </c>
    </row>
    <row r="2294" spans="2:4" x14ac:dyDescent="0.25">
      <c r="B2294" s="61">
        <v>2261</v>
      </c>
      <c r="C2294" s="61">
        <v>239589.56015728996</v>
      </c>
      <c r="D2294" s="102">
        <v>0.23704991390929164</v>
      </c>
    </row>
    <row r="2295" spans="2:4" x14ac:dyDescent="0.25">
      <c r="B2295" s="61">
        <v>2262</v>
      </c>
      <c r="C2295" s="61">
        <v>335090.48904792895</v>
      </c>
      <c r="D2295" s="102">
        <v>0.28242223456076321</v>
      </c>
    </row>
    <row r="2296" spans="2:4" x14ac:dyDescent="0.25">
      <c r="B2296" s="61">
        <v>2263</v>
      </c>
      <c r="C2296" s="61">
        <v>451807.39842674136</v>
      </c>
      <c r="D2296" s="102">
        <v>0.35765807215554468</v>
      </c>
    </row>
    <row r="2297" spans="2:4" x14ac:dyDescent="0.25">
      <c r="B2297" s="61">
        <v>2264</v>
      </c>
      <c r="C2297" s="61">
        <v>62049.833062127465</v>
      </c>
      <c r="D2297" s="102">
        <v>0.11416165404941148</v>
      </c>
    </row>
    <row r="2298" spans="2:4" x14ac:dyDescent="0.25">
      <c r="B2298" s="61">
        <v>2265</v>
      </c>
      <c r="C2298" s="61">
        <v>236575.5955540326</v>
      </c>
      <c r="D2298" s="102">
        <v>0.20476905720620642</v>
      </c>
    </row>
    <row r="2299" spans="2:4" x14ac:dyDescent="0.25">
      <c r="B2299" s="61">
        <v>2266</v>
      </c>
      <c r="C2299" s="61">
        <v>451151.84574954794</v>
      </c>
      <c r="D2299" s="102">
        <v>0.34931549938285866</v>
      </c>
    </row>
    <row r="2300" spans="2:4" x14ac:dyDescent="0.25">
      <c r="B2300" s="61">
        <v>2267</v>
      </c>
      <c r="C2300" s="61">
        <v>310449.09380651417</v>
      </c>
      <c r="D2300" s="102">
        <v>0.31482094431698115</v>
      </c>
    </row>
    <row r="2301" spans="2:4" x14ac:dyDescent="0.25">
      <c r="B2301" s="61">
        <v>2268</v>
      </c>
      <c r="C2301" s="61">
        <v>306023.23821868305</v>
      </c>
      <c r="D2301" s="102">
        <v>0.29018067822672466</v>
      </c>
    </row>
    <row r="2302" spans="2:4" x14ac:dyDescent="0.25">
      <c r="B2302" s="61">
        <v>2269</v>
      </c>
      <c r="C2302" s="61">
        <v>333166.85977163771</v>
      </c>
      <c r="D2302" s="102">
        <v>0.27996779508142011</v>
      </c>
    </row>
    <row r="2303" spans="2:4" x14ac:dyDescent="0.25">
      <c r="B2303" s="61">
        <v>2270</v>
      </c>
      <c r="C2303" s="61">
        <v>207731.88383236073</v>
      </c>
      <c r="D2303" s="102">
        <v>0.22367317595075198</v>
      </c>
    </row>
    <row r="2304" spans="2:4" x14ac:dyDescent="0.25">
      <c r="B2304" s="61">
        <v>2271</v>
      </c>
      <c r="C2304" s="61">
        <v>359352.55455268687</v>
      </c>
      <c r="D2304" s="102">
        <v>0.40717265697423666</v>
      </c>
    </row>
    <row r="2305" spans="2:4" x14ac:dyDescent="0.25">
      <c r="B2305" s="61">
        <v>2272</v>
      </c>
      <c r="C2305" s="61">
        <v>256626.65896264138</v>
      </c>
      <c r="D2305" s="102">
        <v>0.26136686778901286</v>
      </c>
    </row>
    <row r="2306" spans="2:4" x14ac:dyDescent="0.25">
      <c r="B2306" s="61">
        <v>2273</v>
      </c>
      <c r="C2306" s="61">
        <v>216968.75544080965</v>
      </c>
      <c r="D2306" s="102">
        <v>0.25509528263213355</v>
      </c>
    </row>
    <row r="2307" spans="2:4" x14ac:dyDescent="0.25">
      <c r="B2307" s="61">
        <v>2274</v>
      </c>
      <c r="C2307" s="61">
        <v>184375.39656798122</v>
      </c>
      <c r="D2307" s="102">
        <v>0.24207466434046321</v>
      </c>
    </row>
    <row r="2308" spans="2:4" x14ac:dyDescent="0.25">
      <c r="B2308" s="61">
        <v>2275</v>
      </c>
      <c r="C2308" s="61">
        <v>304350.02683916339</v>
      </c>
      <c r="D2308" s="102">
        <v>0.29925142226071655</v>
      </c>
    </row>
    <row r="2309" spans="2:4" x14ac:dyDescent="0.25">
      <c r="B2309" s="61">
        <v>2276</v>
      </c>
      <c r="C2309" s="61">
        <v>329522.4119959817</v>
      </c>
      <c r="D2309" s="102">
        <v>0.37260645027539963</v>
      </c>
    </row>
    <row r="2310" spans="2:4" x14ac:dyDescent="0.25">
      <c r="B2310" s="61">
        <v>2277</v>
      </c>
      <c r="C2310" s="61">
        <v>423868.43231633026</v>
      </c>
      <c r="D2310" s="102">
        <v>0.4493889469594079</v>
      </c>
    </row>
    <row r="2311" spans="2:4" x14ac:dyDescent="0.25">
      <c r="B2311" s="61">
        <v>2278</v>
      </c>
      <c r="C2311" s="61">
        <v>-45131.991070484801</v>
      </c>
      <c r="D2311" s="102">
        <v>3.5018563623999244E-2</v>
      </c>
    </row>
    <row r="2312" spans="2:4" x14ac:dyDescent="0.25">
      <c r="B2312" s="61">
        <v>2279</v>
      </c>
      <c r="C2312" s="61">
        <v>205348.04746337875</v>
      </c>
      <c r="D2312" s="102">
        <v>0.23378938406353056</v>
      </c>
    </row>
    <row r="2313" spans="2:4" x14ac:dyDescent="0.25">
      <c r="B2313" s="61">
        <v>2280</v>
      </c>
      <c r="C2313" s="61">
        <v>239739.16658734181</v>
      </c>
      <c r="D2313" s="102">
        <v>0.21654443141433743</v>
      </c>
    </row>
    <row r="2314" spans="2:4" x14ac:dyDescent="0.25">
      <c r="B2314" s="61">
        <v>2281</v>
      </c>
      <c r="C2314" s="61">
        <v>314976.85435353336</v>
      </c>
      <c r="D2314" s="102">
        <v>0.29282725284765498</v>
      </c>
    </row>
    <row r="2315" spans="2:4" x14ac:dyDescent="0.25">
      <c r="B2315" s="61">
        <v>2282</v>
      </c>
      <c r="C2315" s="61">
        <v>456497.3300135968</v>
      </c>
      <c r="D2315" s="102">
        <v>0.35973325879227902</v>
      </c>
    </row>
    <row r="2316" spans="2:4" x14ac:dyDescent="0.25">
      <c r="B2316" s="61">
        <v>2283</v>
      </c>
      <c r="C2316" s="61">
        <v>208898.38063103321</v>
      </c>
      <c r="D2316" s="102">
        <v>0.25397029859245057</v>
      </c>
    </row>
    <row r="2317" spans="2:4" x14ac:dyDescent="0.25">
      <c r="B2317" s="61">
        <v>2284</v>
      </c>
      <c r="C2317" s="61">
        <v>124502.83132452401</v>
      </c>
      <c r="D2317" s="102">
        <v>0.20980741293626015</v>
      </c>
    </row>
    <row r="2318" spans="2:4" x14ac:dyDescent="0.25">
      <c r="B2318" s="61">
        <v>2285</v>
      </c>
      <c r="C2318" s="61">
        <v>-12727.71277366142</v>
      </c>
      <c r="D2318" s="102">
        <v>5.3397263246880877E-2</v>
      </c>
    </row>
    <row r="2319" spans="2:4" x14ac:dyDescent="0.25">
      <c r="B2319" s="61">
        <v>2286</v>
      </c>
      <c r="C2319" s="61">
        <v>617064.57730919716</v>
      </c>
      <c r="D2319" s="102">
        <v>0.52340205913518134</v>
      </c>
    </row>
    <row r="2320" spans="2:4" x14ac:dyDescent="0.25">
      <c r="B2320" s="61">
        <v>2287</v>
      </c>
      <c r="C2320" s="61">
        <v>270799.06840220967</v>
      </c>
      <c r="D2320" s="102">
        <v>0.27077779397252022</v>
      </c>
    </row>
    <row r="2321" spans="2:4" x14ac:dyDescent="0.25">
      <c r="B2321" s="61">
        <v>2288</v>
      </c>
      <c r="C2321" s="61">
        <v>108040.90763553791</v>
      </c>
      <c r="D2321" s="102">
        <v>0.16815905747082605</v>
      </c>
    </row>
    <row r="2322" spans="2:4" x14ac:dyDescent="0.25">
      <c r="B2322" s="61">
        <v>2289</v>
      </c>
      <c r="C2322" s="61">
        <v>24217.351372194244</v>
      </c>
      <c r="D2322" s="102">
        <v>8.6002286919577786E-2</v>
      </c>
    </row>
    <row r="2323" spans="2:4" x14ac:dyDescent="0.25">
      <c r="B2323" s="61">
        <v>2290</v>
      </c>
      <c r="C2323" s="61">
        <v>281137.72231631202</v>
      </c>
      <c r="D2323" s="102">
        <v>0.33021360421806389</v>
      </c>
    </row>
    <row r="2324" spans="2:4" x14ac:dyDescent="0.25">
      <c r="B2324" s="61">
        <v>2291</v>
      </c>
      <c r="C2324" s="61">
        <v>440601.23572374147</v>
      </c>
      <c r="D2324" s="102">
        <v>0.40986522936430436</v>
      </c>
    </row>
    <row r="2325" spans="2:4" x14ac:dyDescent="0.25">
      <c r="B2325" s="61">
        <v>2292</v>
      </c>
      <c r="C2325" s="61">
        <v>350889.42943942605</v>
      </c>
      <c r="D2325" s="102">
        <v>0.29158900831768131</v>
      </c>
    </row>
    <row r="2326" spans="2:4" x14ac:dyDescent="0.25">
      <c r="B2326" s="61">
        <v>2293</v>
      </c>
      <c r="C2326" s="61">
        <v>295419.14369816415</v>
      </c>
      <c r="D2326" s="102">
        <v>0.27560131068392058</v>
      </c>
    </row>
    <row r="2327" spans="2:4" x14ac:dyDescent="0.25">
      <c r="B2327" s="61">
        <v>2294</v>
      </c>
      <c r="C2327" s="61">
        <v>277602.77017731464</v>
      </c>
      <c r="D2327" s="102">
        <v>0.28072151390512534</v>
      </c>
    </row>
    <row r="2328" spans="2:4" x14ac:dyDescent="0.25">
      <c r="B2328" s="61">
        <v>2295</v>
      </c>
      <c r="C2328" s="61">
        <v>40962.011248373368</v>
      </c>
      <c r="D2328" s="102">
        <v>9.4043423503749057E-2</v>
      </c>
    </row>
    <row r="2329" spans="2:4" x14ac:dyDescent="0.25">
      <c r="B2329" s="61">
        <v>2296</v>
      </c>
      <c r="C2329" s="61">
        <v>158842.89965008479</v>
      </c>
      <c r="D2329" s="102">
        <v>0.16804335848717344</v>
      </c>
    </row>
    <row r="2330" spans="2:4" x14ac:dyDescent="0.25">
      <c r="B2330" s="61">
        <v>2297</v>
      </c>
      <c r="C2330" s="61">
        <v>199767.68262350152</v>
      </c>
      <c r="D2330" s="102">
        <v>0.21342187942880253</v>
      </c>
    </row>
    <row r="2331" spans="2:4" x14ac:dyDescent="0.25">
      <c r="B2331" s="61">
        <v>2298</v>
      </c>
      <c r="C2331" s="61">
        <v>348698.64901931235</v>
      </c>
      <c r="D2331" s="102">
        <v>0.35611680169681592</v>
      </c>
    </row>
    <row r="2332" spans="2:4" x14ac:dyDescent="0.25">
      <c r="B2332" s="61">
        <v>2299</v>
      </c>
      <c r="C2332" s="61">
        <v>79064.264371156693</v>
      </c>
      <c r="D2332" s="102">
        <v>0.12911287281478367</v>
      </c>
    </row>
    <row r="2333" spans="2:4" x14ac:dyDescent="0.25">
      <c r="B2333" s="61">
        <v>2300</v>
      </c>
      <c r="C2333" s="61">
        <v>224643.67493656138</v>
      </c>
      <c r="D2333" s="102">
        <v>0.25559989786836423</v>
      </c>
    </row>
    <row r="2334" spans="2:4" x14ac:dyDescent="0.25">
      <c r="B2334" s="61">
        <v>2301</v>
      </c>
      <c r="C2334" s="61">
        <v>427656.52948008617</v>
      </c>
      <c r="D2334" s="102">
        <v>0.39336849072533586</v>
      </c>
    </row>
    <row r="2335" spans="2:4" x14ac:dyDescent="0.25">
      <c r="B2335" s="61">
        <v>2302</v>
      </c>
      <c r="C2335" s="61">
        <v>225576.73172093555</v>
      </c>
      <c r="D2335" s="102">
        <v>0.22864383868426863</v>
      </c>
    </row>
    <row r="2336" spans="2:4" x14ac:dyDescent="0.25">
      <c r="B2336" s="61">
        <v>2303</v>
      </c>
      <c r="C2336" s="61">
        <v>174307.40578861791</v>
      </c>
      <c r="D2336" s="102">
        <v>0.22145818482989688</v>
      </c>
    </row>
    <row r="2337" spans="2:4" x14ac:dyDescent="0.25">
      <c r="B2337" s="61">
        <v>2304</v>
      </c>
      <c r="C2337" s="61">
        <v>455918.4107280001</v>
      </c>
      <c r="D2337" s="102">
        <v>0.38980322867979944</v>
      </c>
    </row>
    <row r="2338" spans="2:4" x14ac:dyDescent="0.25">
      <c r="B2338" s="61">
        <v>2305</v>
      </c>
      <c r="C2338" s="61">
        <v>105055.09646053257</v>
      </c>
      <c r="D2338" s="102">
        <v>0.15798054093169411</v>
      </c>
    </row>
    <row r="2339" spans="2:4" x14ac:dyDescent="0.25">
      <c r="B2339" s="61">
        <v>2306</v>
      </c>
      <c r="C2339" s="61">
        <v>452717.58666153415</v>
      </c>
      <c r="D2339" s="102">
        <v>0.35227538994347385</v>
      </c>
    </row>
    <row r="2340" spans="2:4" x14ac:dyDescent="0.25">
      <c r="B2340" s="61">
        <v>2307</v>
      </c>
      <c r="C2340" s="61">
        <v>-155532.78662680995</v>
      </c>
      <c r="D2340" s="102">
        <v>-6.1813053153660036E-2</v>
      </c>
    </row>
    <row r="2341" spans="2:4" x14ac:dyDescent="0.25">
      <c r="B2341" s="61">
        <v>2308</v>
      </c>
      <c r="C2341" s="61">
        <v>307059.72714318056</v>
      </c>
      <c r="D2341" s="102">
        <v>0.33473548953322863</v>
      </c>
    </row>
    <row r="2342" spans="2:4" x14ac:dyDescent="0.25">
      <c r="B2342" s="61">
        <v>2309</v>
      </c>
      <c r="C2342" s="61">
        <v>394503.6806605265</v>
      </c>
      <c r="D2342" s="102">
        <v>0.37193045237074762</v>
      </c>
    </row>
    <row r="2343" spans="2:4" x14ac:dyDescent="0.25">
      <c r="B2343" s="61">
        <v>2310</v>
      </c>
      <c r="C2343" s="61">
        <v>385354.61490003346</v>
      </c>
      <c r="D2343" s="102">
        <v>0.3415361202750089</v>
      </c>
    </row>
    <row r="2344" spans="2:4" x14ac:dyDescent="0.25">
      <c r="B2344" s="61">
        <v>2311</v>
      </c>
      <c r="C2344" s="61">
        <v>345827.47833827964</v>
      </c>
      <c r="D2344" s="102">
        <v>0.36777800977683572</v>
      </c>
    </row>
    <row r="2345" spans="2:4" x14ac:dyDescent="0.25">
      <c r="B2345" s="61">
        <v>2312</v>
      </c>
      <c r="C2345" s="61">
        <v>181614.57298013265</v>
      </c>
      <c r="D2345" s="102">
        <v>0.21849993645765298</v>
      </c>
    </row>
    <row r="2346" spans="2:4" x14ac:dyDescent="0.25">
      <c r="B2346" s="61">
        <v>2313</v>
      </c>
      <c r="C2346" s="61">
        <v>375710.22228524042</v>
      </c>
      <c r="D2346" s="102">
        <v>0.32902879028639465</v>
      </c>
    </row>
    <row r="2347" spans="2:4" x14ac:dyDescent="0.25">
      <c r="B2347" s="61">
        <v>2314</v>
      </c>
      <c r="C2347" s="61">
        <v>204669.46741431078</v>
      </c>
      <c r="D2347" s="102">
        <v>0.20468962019861925</v>
      </c>
    </row>
    <row r="2348" spans="2:4" x14ac:dyDescent="0.25">
      <c r="B2348" s="61">
        <v>2315</v>
      </c>
      <c r="C2348" s="61">
        <v>320484.62152974948</v>
      </c>
      <c r="D2348" s="102">
        <v>0.33850469408258865</v>
      </c>
    </row>
    <row r="2349" spans="2:4" x14ac:dyDescent="0.25">
      <c r="B2349" s="61">
        <v>2316</v>
      </c>
      <c r="C2349" s="61">
        <v>217284.44794572552</v>
      </c>
      <c r="D2349" s="102">
        <v>0.21966805401961209</v>
      </c>
    </row>
    <row r="2350" spans="2:4" x14ac:dyDescent="0.25">
      <c r="B2350" s="61">
        <v>2317</v>
      </c>
      <c r="C2350" s="61">
        <v>244555.01447903586</v>
      </c>
      <c r="D2350" s="102">
        <v>0.25875767266168714</v>
      </c>
    </row>
    <row r="2351" spans="2:4" x14ac:dyDescent="0.25">
      <c r="B2351" s="61">
        <v>2318</v>
      </c>
      <c r="C2351" s="61">
        <v>397847.23630992486</v>
      </c>
      <c r="D2351" s="102">
        <v>0.3063998157128609</v>
      </c>
    </row>
    <row r="2352" spans="2:4" x14ac:dyDescent="0.25">
      <c r="B2352" s="61">
        <v>2319</v>
      </c>
      <c r="C2352" s="61">
        <v>123758.00703267666</v>
      </c>
      <c r="D2352" s="102">
        <v>0.1858089306479398</v>
      </c>
    </row>
    <row r="2353" spans="2:4" x14ac:dyDescent="0.25">
      <c r="B2353" s="61">
        <v>2320</v>
      </c>
      <c r="C2353" s="61">
        <v>186172.3947966022</v>
      </c>
      <c r="D2353" s="102">
        <v>0.2684599308562905</v>
      </c>
    </row>
    <row r="2354" spans="2:4" x14ac:dyDescent="0.25">
      <c r="B2354" s="61">
        <v>2321</v>
      </c>
      <c r="C2354" s="61">
        <v>346264.04763330636</v>
      </c>
      <c r="D2354" s="102">
        <v>0.32943227570861677</v>
      </c>
    </row>
    <row r="2355" spans="2:4" x14ac:dyDescent="0.25">
      <c r="B2355" s="61">
        <v>2322</v>
      </c>
      <c r="C2355" s="61">
        <v>186918.44235726818</v>
      </c>
      <c r="D2355" s="102">
        <v>0.20995044688745224</v>
      </c>
    </row>
    <row r="2356" spans="2:4" x14ac:dyDescent="0.25">
      <c r="B2356" s="61">
        <v>2323</v>
      </c>
      <c r="C2356" s="61">
        <v>128950.18676259601</v>
      </c>
      <c r="D2356" s="102">
        <v>0.17640435977136204</v>
      </c>
    </row>
    <row r="2357" spans="2:4" x14ac:dyDescent="0.25">
      <c r="B2357" s="61">
        <v>2324</v>
      </c>
      <c r="C2357" s="61">
        <v>244061.02926368837</v>
      </c>
      <c r="D2357" s="102">
        <v>0.25926152706452865</v>
      </c>
    </row>
    <row r="2358" spans="2:4" x14ac:dyDescent="0.25">
      <c r="B2358" s="61">
        <v>2325</v>
      </c>
      <c r="C2358" s="61">
        <v>369348.42856070842</v>
      </c>
      <c r="D2358" s="102">
        <v>0.30219082158951283</v>
      </c>
    </row>
    <row r="2359" spans="2:4" x14ac:dyDescent="0.25">
      <c r="B2359" s="61">
        <v>2326</v>
      </c>
      <c r="C2359" s="61">
        <v>156220.20512234041</v>
      </c>
      <c r="D2359" s="102">
        <v>0.18310259023106457</v>
      </c>
    </row>
    <row r="2360" spans="2:4" x14ac:dyDescent="0.25">
      <c r="B2360" s="61">
        <v>2327</v>
      </c>
      <c r="C2360" s="61">
        <v>346110.15879426338</v>
      </c>
      <c r="D2360" s="102">
        <v>0.35738169205325399</v>
      </c>
    </row>
    <row r="2361" spans="2:4" x14ac:dyDescent="0.25">
      <c r="B2361" s="61">
        <v>2328</v>
      </c>
      <c r="C2361" s="61">
        <v>211934.89362303319</v>
      </c>
      <c r="D2361" s="102">
        <v>0.21981909466614669</v>
      </c>
    </row>
    <row r="2362" spans="2:4" x14ac:dyDescent="0.25">
      <c r="B2362" s="61">
        <v>2329</v>
      </c>
      <c r="C2362" s="61">
        <v>206518.17882624525</v>
      </c>
      <c r="D2362" s="102">
        <v>0.21903695108642007</v>
      </c>
    </row>
    <row r="2363" spans="2:4" x14ac:dyDescent="0.25">
      <c r="B2363" s="61">
        <v>2330</v>
      </c>
      <c r="C2363" s="61">
        <v>50842.433205394307</v>
      </c>
      <c r="D2363" s="102">
        <v>0.10853909670387729</v>
      </c>
    </row>
    <row r="2364" spans="2:4" x14ac:dyDescent="0.25">
      <c r="B2364" s="61">
        <v>2331</v>
      </c>
      <c r="C2364" s="61">
        <v>205595.48345609347</v>
      </c>
      <c r="D2364" s="102">
        <v>0.23300481969663878</v>
      </c>
    </row>
    <row r="2365" spans="2:4" x14ac:dyDescent="0.25">
      <c r="B2365" s="61">
        <v>2332</v>
      </c>
      <c r="C2365" s="61">
        <v>432188.04396394233</v>
      </c>
      <c r="D2365" s="102">
        <v>0.39985978974804448</v>
      </c>
    </row>
    <row r="2366" spans="2:4" x14ac:dyDescent="0.25">
      <c r="B2366" s="61">
        <v>2333</v>
      </c>
      <c r="C2366" s="61">
        <v>323478.75890480867</v>
      </c>
      <c r="D2366" s="102">
        <v>0.30795825002955923</v>
      </c>
    </row>
    <row r="2367" spans="2:4" x14ac:dyDescent="0.25">
      <c r="B2367" s="61">
        <v>2334</v>
      </c>
      <c r="C2367" s="61">
        <v>245240.11811518716</v>
      </c>
      <c r="D2367" s="102">
        <v>0.24597252585930285</v>
      </c>
    </row>
    <row r="2368" spans="2:4" x14ac:dyDescent="0.25">
      <c r="B2368" s="61">
        <v>2335</v>
      </c>
      <c r="C2368" s="61">
        <v>208111.02022441942</v>
      </c>
      <c r="D2368" s="102">
        <v>0.24703120854178495</v>
      </c>
    </row>
    <row r="2369" spans="2:4" x14ac:dyDescent="0.25">
      <c r="B2369" s="61">
        <v>2336</v>
      </c>
      <c r="C2369" s="61">
        <v>432694.81011693669</v>
      </c>
      <c r="D2369" s="102">
        <v>0.41978249691085678</v>
      </c>
    </row>
    <row r="2370" spans="2:4" x14ac:dyDescent="0.25">
      <c r="B2370" s="61">
        <v>2337</v>
      </c>
      <c r="C2370" s="61">
        <v>562549.4764530469</v>
      </c>
      <c r="D2370" s="102">
        <v>0.5125060306004825</v>
      </c>
    </row>
    <row r="2371" spans="2:4" x14ac:dyDescent="0.25">
      <c r="B2371" s="61">
        <v>2338</v>
      </c>
      <c r="C2371" s="61">
        <v>280644.66581199784</v>
      </c>
      <c r="D2371" s="102">
        <v>0.3119507910650301</v>
      </c>
    </row>
    <row r="2372" spans="2:4" x14ac:dyDescent="0.25">
      <c r="B2372" s="61">
        <v>2339</v>
      </c>
      <c r="C2372" s="61">
        <v>363949.8499436531</v>
      </c>
      <c r="D2372" s="102">
        <v>0.36054904646641783</v>
      </c>
    </row>
    <row r="2373" spans="2:4" x14ac:dyDescent="0.25">
      <c r="B2373" s="61">
        <v>2340</v>
      </c>
      <c r="C2373" s="61">
        <v>556500.70715085021</v>
      </c>
      <c r="D2373" s="102">
        <v>0.44679409533314596</v>
      </c>
    </row>
    <row r="2374" spans="2:4" x14ac:dyDescent="0.25">
      <c r="B2374" s="61">
        <v>2341</v>
      </c>
      <c r="C2374" s="61">
        <v>406241.66482203419</v>
      </c>
      <c r="D2374" s="102">
        <v>0.39294721553101875</v>
      </c>
    </row>
    <row r="2375" spans="2:4" x14ac:dyDescent="0.25">
      <c r="B2375" s="61">
        <v>2342</v>
      </c>
      <c r="C2375" s="61">
        <v>365117.73758661095</v>
      </c>
      <c r="D2375" s="102">
        <v>0.42264605340296368</v>
      </c>
    </row>
    <row r="2376" spans="2:4" x14ac:dyDescent="0.25">
      <c r="B2376" s="61">
        <v>2343</v>
      </c>
      <c r="C2376" s="61">
        <v>112491.98552061355</v>
      </c>
      <c r="D2376" s="102">
        <v>0.18911322832266486</v>
      </c>
    </row>
    <row r="2377" spans="2:4" x14ac:dyDescent="0.25">
      <c r="B2377" s="61">
        <v>2344</v>
      </c>
      <c r="C2377" s="61">
        <v>196993.96974722645</v>
      </c>
      <c r="D2377" s="102">
        <v>0.19800043836117043</v>
      </c>
    </row>
    <row r="2378" spans="2:4" x14ac:dyDescent="0.25">
      <c r="B2378" s="61">
        <v>2345</v>
      </c>
      <c r="C2378" s="61">
        <v>443630.57196306763</v>
      </c>
      <c r="D2378" s="102">
        <v>0.4026568673192954</v>
      </c>
    </row>
    <row r="2379" spans="2:4" x14ac:dyDescent="0.25">
      <c r="B2379" s="61">
        <v>2346</v>
      </c>
      <c r="C2379" s="61">
        <v>409692.21257119812</v>
      </c>
      <c r="D2379" s="102">
        <v>0.38020184405027635</v>
      </c>
    </row>
    <row r="2380" spans="2:4" x14ac:dyDescent="0.25">
      <c r="B2380" s="61">
        <v>2347</v>
      </c>
      <c r="C2380" s="61">
        <v>170142.39939892676</v>
      </c>
      <c r="D2380" s="102">
        <v>0.18786077978042481</v>
      </c>
    </row>
    <row r="2381" spans="2:4" x14ac:dyDescent="0.25">
      <c r="B2381" s="61">
        <v>2348</v>
      </c>
      <c r="C2381" s="61">
        <v>122645.85503085371</v>
      </c>
      <c r="D2381" s="102">
        <v>0.17808468530445176</v>
      </c>
    </row>
    <row r="2382" spans="2:4" x14ac:dyDescent="0.25">
      <c r="B2382" s="61">
        <v>2349</v>
      </c>
      <c r="C2382" s="61">
        <v>245974.38461102231</v>
      </c>
      <c r="D2382" s="102">
        <v>0.25126333173188642</v>
      </c>
    </row>
    <row r="2383" spans="2:4" x14ac:dyDescent="0.25">
      <c r="B2383" s="61">
        <v>2350</v>
      </c>
      <c r="C2383" s="61">
        <v>437447.46626251773</v>
      </c>
      <c r="D2383" s="102">
        <v>0.41561305476633548</v>
      </c>
    </row>
    <row r="2384" spans="2:4" x14ac:dyDescent="0.25">
      <c r="B2384" s="61">
        <v>2351</v>
      </c>
      <c r="C2384" s="61">
        <v>127248.82346090593</v>
      </c>
      <c r="D2384" s="102">
        <v>0.16232500158191265</v>
      </c>
    </row>
    <row r="2385" spans="2:4" x14ac:dyDescent="0.25">
      <c r="B2385" s="61">
        <v>2352</v>
      </c>
      <c r="C2385" s="61">
        <v>222572.1656110672</v>
      </c>
      <c r="D2385" s="102">
        <v>0.2367058210041868</v>
      </c>
    </row>
    <row r="2386" spans="2:4" x14ac:dyDescent="0.25">
      <c r="B2386" s="61">
        <v>2353</v>
      </c>
      <c r="C2386" s="61">
        <v>181637.52056225273</v>
      </c>
      <c r="D2386" s="102">
        <v>0.22423516664601695</v>
      </c>
    </row>
    <row r="2387" spans="2:4" x14ac:dyDescent="0.25">
      <c r="B2387" s="61">
        <v>2354</v>
      </c>
      <c r="C2387" s="61">
        <v>264807.37113960215</v>
      </c>
      <c r="D2387" s="102">
        <v>0.2412206157314285</v>
      </c>
    </row>
    <row r="2388" spans="2:4" x14ac:dyDescent="0.25">
      <c r="B2388" s="61">
        <v>2355</v>
      </c>
      <c r="C2388" s="61">
        <v>455376.91855413781</v>
      </c>
      <c r="D2388" s="102">
        <v>0.41090510695942029</v>
      </c>
    </row>
    <row r="2389" spans="2:4" x14ac:dyDescent="0.25">
      <c r="B2389" s="61">
        <v>2356</v>
      </c>
      <c r="C2389" s="61">
        <v>178915.99057265429</v>
      </c>
      <c r="D2389" s="102">
        <v>0.20172236809144528</v>
      </c>
    </row>
    <row r="2390" spans="2:4" x14ac:dyDescent="0.25">
      <c r="B2390" s="61">
        <v>2357</v>
      </c>
      <c r="C2390" s="61">
        <v>493562.91175754042</v>
      </c>
      <c r="D2390" s="102">
        <v>0.41709950843326182</v>
      </c>
    </row>
    <row r="2391" spans="2:4" x14ac:dyDescent="0.25">
      <c r="B2391" s="61">
        <v>2358</v>
      </c>
      <c r="C2391" s="61">
        <v>364741.81722090358</v>
      </c>
      <c r="D2391" s="102">
        <v>0.33426545638123395</v>
      </c>
    </row>
    <row r="2392" spans="2:4" x14ac:dyDescent="0.25">
      <c r="B2392" s="61">
        <v>2359</v>
      </c>
      <c r="C2392" s="61">
        <v>493046.87339812401</v>
      </c>
      <c r="D2392" s="102">
        <v>0.38754194730238134</v>
      </c>
    </row>
    <row r="2393" spans="2:4" x14ac:dyDescent="0.25">
      <c r="B2393" s="61">
        <v>2360</v>
      </c>
      <c r="C2393" s="61">
        <v>279653.04865842836</v>
      </c>
      <c r="D2393" s="102">
        <v>0.31588729062180021</v>
      </c>
    </row>
    <row r="2394" spans="2:4" x14ac:dyDescent="0.25">
      <c r="B2394" s="61">
        <v>2361</v>
      </c>
      <c r="C2394" s="61">
        <v>462239.41994845879</v>
      </c>
      <c r="D2394" s="102">
        <v>0.43819402202467606</v>
      </c>
    </row>
    <row r="2395" spans="2:4" x14ac:dyDescent="0.25">
      <c r="B2395" s="61">
        <v>2362</v>
      </c>
      <c r="C2395" s="61">
        <v>115594.72603368614</v>
      </c>
      <c r="D2395" s="102">
        <v>0.14726624780795694</v>
      </c>
    </row>
    <row r="2396" spans="2:4" x14ac:dyDescent="0.25">
      <c r="B2396" s="61">
        <v>2363</v>
      </c>
      <c r="C2396" s="61">
        <v>294248.91499017307</v>
      </c>
      <c r="D2396" s="102">
        <v>0.2643165325455219</v>
      </c>
    </row>
    <row r="2397" spans="2:4" x14ac:dyDescent="0.25">
      <c r="B2397" s="61">
        <v>2364</v>
      </c>
      <c r="C2397" s="61">
        <v>326722.56777713599</v>
      </c>
      <c r="D2397" s="102">
        <v>0.31802292416119804</v>
      </c>
    </row>
    <row r="2398" spans="2:4" x14ac:dyDescent="0.25">
      <c r="B2398" s="61">
        <v>2365</v>
      </c>
      <c r="C2398" s="61">
        <v>205338.15556040825</v>
      </c>
      <c r="D2398" s="102">
        <v>0.20444383875459815</v>
      </c>
    </row>
    <row r="2399" spans="2:4" x14ac:dyDescent="0.25">
      <c r="B2399" s="61">
        <v>2366</v>
      </c>
      <c r="C2399" s="61">
        <v>129125.14258925576</v>
      </c>
      <c r="D2399" s="102">
        <v>0.19635723165139485</v>
      </c>
    </row>
    <row r="2400" spans="2:4" x14ac:dyDescent="0.25">
      <c r="B2400" s="61">
        <v>2367</v>
      </c>
      <c r="C2400" s="61">
        <v>63085.625118473719</v>
      </c>
      <c r="D2400" s="102">
        <v>0.11225067727117422</v>
      </c>
    </row>
    <row r="2401" spans="2:4" x14ac:dyDescent="0.25">
      <c r="B2401" s="61">
        <v>2368</v>
      </c>
      <c r="C2401" s="61">
        <v>424988.69397452241</v>
      </c>
      <c r="D2401" s="102">
        <v>0.41187378394272578</v>
      </c>
    </row>
    <row r="2402" spans="2:4" x14ac:dyDescent="0.25">
      <c r="B2402" s="61">
        <v>2369</v>
      </c>
      <c r="C2402" s="61">
        <v>314142.91783674154</v>
      </c>
      <c r="D2402" s="102">
        <v>0.28770104133532093</v>
      </c>
    </row>
    <row r="2403" spans="2:4" x14ac:dyDescent="0.25">
      <c r="B2403" s="61">
        <v>2370</v>
      </c>
      <c r="C2403" s="61">
        <v>372856.04992043262</v>
      </c>
      <c r="D2403" s="102">
        <v>0.39036532101635379</v>
      </c>
    </row>
    <row r="2404" spans="2:4" x14ac:dyDescent="0.25">
      <c r="B2404" s="61">
        <v>2371</v>
      </c>
      <c r="C2404" s="61">
        <v>282166.47799724899</v>
      </c>
      <c r="D2404" s="102">
        <v>0.29973135977994647</v>
      </c>
    </row>
    <row r="2405" spans="2:4" x14ac:dyDescent="0.25">
      <c r="B2405" s="61">
        <v>2372</v>
      </c>
      <c r="C2405" s="61">
        <v>442660.02609138994</v>
      </c>
      <c r="D2405" s="102">
        <v>0.33369902856441391</v>
      </c>
    </row>
    <row r="2406" spans="2:4" x14ac:dyDescent="0.25">
      <c r="B2406" s="61">
        <v>2373</v>
      </c>
      <c r="C2406" s="61">
        <v>444102.70981743629</v>
      </c>
      <c r="D2406" s="102">
        <v>0.42772793512888319</v>
      </c>
    </row>
    <row r="2407" spans="2:4" x14ac:dyDescent="0.25">
      <c r="B2407" s="61">
        <v>2374</v>
      </c>
      <c r="C2407" s="61">
        <v>314692.88745271042</v>
      </c>
      <c r="D2407" s="102">
        <v>0.28952786281683207</v>
      </c>
    </row>
    <row r="2408" spans="2:4" x14ac:dyDescent="0.25">
      <c r="B2408" s="61">
        <v>2375</v>
      </c>
      <c r="C2408" s="61">
        <v>319068.42860470107</v>
      </c>
      <c r="D2408" s="102">
        <v>0.33365641492312226</v>
      </c>
    </row>
    <row r="2409" spans="2:4" x14ac:dyDescent="0.25">
      <c r="B2409" s="61">
        <v>2376</v>
      </c>
      <c r="C2409" s="61">
        <v>86225.103233010392</v>
      </c>
      <c r="D2409" s="102">
        <v>0.12806219476538239</v>
      </c>
    </row>
    <row r="2410" spans="2:4" x14ac:dyDescent="0.25">
      <c r="B2410" s="61">
        <v>2377</v>
      </c>
      <c r="C2410" s="61">
        <v>415680.13847359235</v>
      </c>
      <c r="D2410" s="102">
        <v>0.40449328662722084</v>
      </c>
    </row>
    <row r="2411" spans="2:4" x14ac:dyDescent="0.25">
      <c r="B2411" s="61">
        <v>2378</v>
      </c>
      <c r="C2411" s="61">
        <v>330560.29906939168</v>
      </c>
      <c r="D2411" s="102">
        <v>0.26801405048439708</v>
      </c>
    </row>
    <row r="2412" spans="2:4" x14ac:dyDescent="0.25">
      <c r="B2412" s="61">
        <v>2379</v>
      </c>
      <c r="C2412" s="61">
        <v>74052.186379268067</v>
      </c>
      <c r="D2412" s="102">
        <v>0.1174296126178016</v>
      </c>
    </row>
    <row r="2413" spans="2:4" x14ac:dyDescent="0.25">
      <c r="B2413" s="61">
        <v>2380</v>
      </c>
      <c r="C2413" s="61">
        <v>179695.4187317444</v>
      </c>
      <c r="D2413" s="102">
        <v>0.20399357039855981</v>
      </c>
    </row>
    <row r="2414" spans="2:4" x14ac:dyDescent="0.25">
      <c r="B2414" s="61">
        <v>2381</v>
      </c>
      <c r="C2414" s="61">
        <v>368933.9173919668</v>
      </c>
      <c r="D2414" s="102">
        <v>0.37464010474552856</v>
      </c>
    </row>
    <row r="2415" spans="2:4" x14ac:dyDescent="0.25">
      <c r="B2415" s="61">
        <v>2382</v>
      </c>
      <c r="C2415" s="61">
        <v>289997.68242459255</v>
      </c>
      <c r="D2415" s="102">
        <v>0.26720638272625097</v>
      </c>
    </row>
    <row r="2416" spans="2:4" x14ac:dyDescent="0.25">
      <c r="B2416" s="61">
        <v>2383</v>
      </c>
      <c r="C2416" s="61">
        <v>163624.57854695758</v>
      </c>
      <c r="D2416" s="102">
        <v>0.18618281443936868</v>
      </c>
    </row>
    <row r="2417" spans="2:4" x14ac:dyDescent="0.25">
      <c r="B2417" s="61">
        <v>2384</v>
      </c>
      <c r="C2417" s="61">
        <v>322471.56221858179</v>
      </c>
      <c r="D2417" s="102">
        <v>0.3299476439918263</v>
      </c>
    </row>
    <row r="2418" spans="2:4" x14ac:dyDescent="0.25">
      <c r="B2418" s="61">
        <v>2385</v>
      </c>
      <c r="C2418" s="61">
        <v>354682.762874629</v>
      </c>
      <c r="D2418" s="102">
        <v>0.36365545071209815</v>
      </c>
    </row>
    <row r="2419" spans="2:4" x14ac:dyDescent="0.25">
      <c r="B2419" s="61">
        <v>2386</v>
      </c>
      <c r="C2419" s="61">
        <v>-39512.778961768141</v>
      </c>
      <c r="D2419" s="102">
        <v>2.0694172047754034E-2</v>
      </c>
    </row>
    <row r="2420" spans="2:4" x14ac:dyDescent="0.25">
      <c r="B2420" s="61">
        <v>2387</v>
      </c>
      <c r="C2420" s="61">
        <v>236289.23143696017</v>
      </c>
      <c r="D2420" s="102">
        <v>0.25067685321524968</v>
      </c>
    </row>
    <row r="2421" spans="2:4" x14ac:dyDescent="0.25">
      <c r="B2421" s="61">
        <v>2388</v>
      </c>
      <c r="C2421" s="61">
        <v>410407.52887313231</v>
      </c>
      <c r="D2421" s="102">
        <v>0.42239035069508502</v>
      </c>
    </row>
    <row r="2422" spans="2:4" x14ac:dyDescent="0.25">
      <c r="B2422" s="61">
        <v>2389</v>
      </c>
      <c r="C2422" s="61">
        <v>37353.408574861533</v>
      </c>
      <c r="D2422" s="102">
        <v>8.8932362813325616E-2</v>
      </c>
    </row>
    <row r="2423" spans="2:4" x14ac:dyDescent="0.25">
      <c r="B2423" s="61">
        <v>2390</v>
      </c>
      <c r="C2423" s="61">
        <v>330245.56958647014</v>
      </c>
      <c r="D2423" s="102">
        <v>0.33022829706147383</v>
      </c>
    </row>
    <row r="2424" spans="2:4" x14ac:dyDescent="0.25">
      <c r="B2424" s="61">
        <v>2391</v>
      </c>
      <c r="C2424" s="61">
        <v>238468.17423180491</v>
      </c>
      <c r="D2424" s="102">
        <v>0.24606315443378746</v>
      </c>
    </row>
    <row r="2425" spans="2:4" x14ac:dyDescent="0.25">
      <c r="B2425" s="61">
        <v>2392</v>
      </c>
      <c r="C2425" s="61">
        <v>192336.96075862634</v>
      </c>
      <c r="D2425" s="102">
        <v>0.2075887813303734</v>
      </c>
    </row>
    <row r="2426" spans="2:4" x14ac:dyDescent="0.25">
      <c r="B2426" s="61">
        <v>2393</v>
      </c>
      <c r="C2426" s="61">
        <v>400753.8004475924</v>
      </c>
      <c r="D2426" s="102">
        <v>0.35387715634458106</v>
      </c>
    </row>
    <row r="2427" spans="2:4" x14ac:dyDescent="0.25">
      <c r="B2427" s="61">
        <v>2394</v>
      </c>
      <c r="C2427" s="61">
        <v>58785.574188048369</v>
      </c>
      <c r="D2427" s="102">
        <v>0.10307992300696744</v>
      </c>
    </row>
    <row r="2428" spans="2:4" x14ac:dyDescent="0.25">
      <c r="B2428" s="61">
        <v>2395</v>
      </c>
      <c r="C2428" s="61">
        <v>216656.00672050472</v>
      </c>
      <c r="D2428" s="102">
        <v>0.24127521172983024</v>
      </c>
    </row>
    <row r="2429" spans="2:4" x14ac:dyDescent="0.25">
      <c r="B2429" s="61">
        <v>2396</v>
      </c>
      <c r="C2429" s="61">
        <v>42001.972030854202</v>
      </c>
      <c r="D2429" s="102">
        <v>0.10110200637709732</v>
      </c>
    </row>
    <row r="2430" spans="2:4" x14ac:dyDescent="0.25">
      <c r="B2430" s="61">
        <v>2397</v>
      </c>
      <c r="C2430" s="61">
        <v>211513.74421102565</v>
      </c>
      <c r="D2430" s="102">
        <v>0.24172380022614925</v>
      </c>
    </row>
    <row r="2431" spans="2:4" x14ac:dyDescent="0.25">
      <c r="B2431" s="61">
        <v>2398</v>
      </c>
      <c r="C2431" s="61">
        <v>458729.72472083801</v>
      </c>
      <c r="D2431" s="102">
        <v>0.36854080888442442</v>
      </c>
    </row>
    <row r="2432" spans="2:4" x14ac:dyDescent="0.25">
      <c r="B2432" s="61">
        <v>2399</v>
      </c>
      <c r="C2432" s="61">
        <v>247884.55724305764</v>
      </c>
      <c r="D2432" s="102">
        <v>0.22920286385273902</v>
      </c>
    </row>
    <row r="2433" spans="2:4" x14ac:dyDescent="0.25">
      <c r="B2433" s="61">
        <v>2400</v>
      </c>
      <c r="C2433" s="61">
        <v>109470.68344105518</v>
      </c>
      <c r="D2433" s="102">
        <v>0.17849335324890392</v>
      </c>
    </row>
    <row r="2434" spans="2:4" x14ac:dyDescent="0.25">
      <c r="B2434" s="61">
        <v>2401</v>
      </c>
      <c r="C2434" s="61">
        <v>188337.91730761365</v>
      </c>
      <c r="D2434" s="102">
        <v>0.23172988966012986</v>
      </c>
    </row>
    <row r="2435" spans="2:4" x14ac:dyDescent="0.25">
      <c r="B2435" s="61">
        <v>2402</v>
      </c>
      <c r="C2435" s="61">
        <v>306198.67160268186</v>
      </c>
      <c r="D2435" s="102">
        <v>0.35913931881456751</v>
      </c>
    </row>
    <row r="2436" spans="2:4" x14ac:dyDescent="0.25">
      <c r="B2436" s="61">
        <v>2403</v>
      </c>
      <c r="C2436" s="61">
        <v>662857.00554302137</v>
      </c>
      <c r="D2436" s="102">
        <v>0.5338512016494672</v>
      </c>
    </row>
    <row r="2437" spans="2:4" x14ac:dyDescent="0.25">
      <c r="B2437" s="61">
        <v>2404</v>
      </c>
      <c r="C2437" s="61">
        <v>336136.94461373833</v>
      </c>
      <c r="D2437" s="102">
        <v>0.27554406296884992</v>
      </c>
    </row>
    <row r="2438" spans="2:4" x14ac:dyDescent="0.25">
      <c r="B2438" s="61">
        <v>2405</v>
      </c>
      <c r="C2438" s="61">
        <v>398086.96637631638</v>
      </c>
      <c r="D2438" s="102">
        <v>0.38453596751678654</v>
      </c>
    </row>
    <row r="2439" spans="2:4" x14ac:dyDescent="0.25">
      <c r="B2439" s="61">
        <v>2406</v>
      </c>
      <c r="C2439" s="61">
        <v>148635.06667149521</v>
      </c>
      <c r="D2439" s="102">
        <v>0.18473918141083656</v>
      </c>
    </row>
    <row r="2440" spans="2:4" x14ac:dyDescent="0.25">
      <c r="B2440" s="61">
        <v>2407</v>
      </c>
      <c r="C2440" s="61">
        <v>238064.77517874446</v>
      </c>
      <c r="D2440" s="102">
        <v>0.21329038600350603</v>
      </c>
    </row>
    <row r="2441" spans="2:4" x14ac:dyDescent="0.25">
      <c r="B2441" s="61">
        <v>2408</v>
      </c>
      <c r="C2441" s="61">
        <v>165241.37610246206</v>
      </c>
      <c r="D2441" s="102">
        <v>0.18553966469205818</v>
      </c>
    </row>
    <row r="2442" spans="2:4" x14ac:dyDescent="0.25">
      <c r="B2442" s="61">
        <v>2409</v>
      </c>
      <c r="C2442" s="61">
        <v>255406.56957105489</v>
      </c>
      <c r="D2442" s="102">
        <v>0.25529492904476059</v>
      </c>
    </row>
    <row r="2443" spans="2:4" x14ac:dyDescent="0.25">
      <c r="B2443" s="61">
        <v>2410</v>
      </c>
      <c r="C2443" s="61">
        <v>340414.20636597101</v>
      </c>
      <c r="D2443" s="102">
        <v>0.33578943108025028</v>
      </c>
    </row>
    <row r="2444" spans="2:4" x14ac:dyDescent="0.25">
      <c r="B2444" s="61">
        <v>2411</v>
      </c>
      <c r="C2444" s="61">
        <v>143228.91592390288</v>
      </c>
      <c r="D2444" s="102">
        <v>0.17160578981178487</v>
      </c>
    </row>
    <row r="2445" spans="2:4" x14ac:dyDescent="0.25">
      <c r="B2445" s="61">
        <v>2412</v>
      </c>
      <c r="C2445" s="61">
        <v>248422.62513828045</v>
      </c>
      <c r="D2445" s="102">
        <v>0.23696586510110995</v>
      </c>
    </row>
    <row r="2446" spans="2:4" x14ac:dyDescent="0.25">
      <c r="B2446" s="61">
        <v>2413</v>
      </c>
      <c r="C2446" s="61">
        <v>277861.41763635015</v>
      </c>
      <c r="D2446" s="102">
        <v>0.26315173524886415</v>
      </c>
    </row>
    <row r="2447" spans="2:4" x14ac:dyDescent="0.25">
      <c r="B2447" s="61">
        <v>2414</v>
      </c>
      <c r="C2447" s="61">
        <v>175764.90651107964</v>
      </c>
      <c r="D2447" s="102">
        <v>0.2019201118987497</v>
      </c>
    </row>
    <row r="2448" spans="2:4" x14ac:dyDescent="0.25">
      <c r="B2448" s="61">
        <v>2415</v>
      </c>
      <c r="C2448" s="61">
        <v>324626.63140270964</v>
      </c>
      <c r="D2448" s="102">
        <v>0.28028315498162382</v>
      </c>
    </row>
    <row r="2449" spans="2:4" x14ac:dyDescent="0.25">
      <c r="B2449" s="61">
        <v>2416</v>
      </c>
      <c r="C2449" s="61">
        <v>192513.84575830004</v>
      </c>
      <c r="D2449" s="102">
        <v>0.21862546298427032</v>
      </c>
    </row>
    <row r="2450" spans="2:4" x14ac:dyDescent="0.25">
      <c r="B2450" s="61">
        <v>2417</v>
      </c>
      <c r="C2450" s="61">
        <v>358547.31607925484</v>
      </c>
      <c r="D2450" s="102">
        <v>0.33656784220859604</v>
      </c>
    </row>
    <row r="2451" spans="2:4" x14ac:dyDescent="0.25">
      <c r="B2451" s="61">
        <v>2418</v>
      </c>
      <c r="C2451" s="61">
        <v>196517.70727057103</v>
      </c>
      <c r="D2451" s="102">
        <v>0.20928262765504413</v>
      </c>
    </row>
    <row r="2452" spans="2:4" x14ac:dyDescent="0.25">
      <c r="B2452" s="61">
        <v>2419</v>
      </c>
      <c r="C2452" s="61">
        <v>351530.49396584986</v>
      </c>
      <c r="D2452" s="102">
        <v>0.3482284238184481</v>
      </c>
    </row>
    <row r="2453" spans="2:4" x14ac:dyDescent="0.25">
      <c r="B2453" s="61">
        <v>2420</v>
      </c>
      <c r="C2453" s="61">
        <v>360117.06823677069</v>
      </c>
      <c r="D2453" s="102">
        <v>0.34536350272313698</v>
      </c>
    </row>
    <row r="2454" spans="2:4" x14ac:dyDescent="0.25">
      <c r="B2454" s="61">
        <v>2421</v>
      </c>
      <c r="C2454" s="61">
        <v>98176.034864331596</v>
      </c>
      <c r="D2454" s="102">
        <v>0.14201612607904179</v>
      </c>
    </row>
    <row r="2455" spans="2:4" x14ac:dyDescent="0.25">
      <c r="B2455" s="61">
        <v>2422</v>
      </c>
      <c r="C2455" s="61">
        <v>483396.71020083013</v>
      </c>
      <c r="D2455" s="102">
        <v>0.44915007214361302</v>
      </c>
    </row>
    <row r="2456" spans="2:4" x14ac:dyDescent="0.25">
      <c r="B2456" s="61">
        <v>2423</v>
      </c>
      <c r="C2456" s="61">
        <v>141855.06609593588</v>
      </c>
      <c r="D2456" s="102">
        <v>0.17720795778551302</v>
      </c>
    </row>
    <row r="2457" spans="2:4" x14ac:dyDescent="0.25">
      <c r="B2457" s="61">
        <v>2424</v>
      </c>
      <c r="C2457" s="61">
        <v>390417.31503198366</v>
      </c>
      <c r="D2457" s="102">
        <v>0.37141807734702703</v>
      </c>
    </row>
    <row r="2458" spans="2:4" x14ac:dyDescent="0.25">
      <c r="B2458" s="61">
        <v>2425</v>
      </c>
      <c r="C2458" s="61">
        <v>274838.21723317856</v>
      </c>
      <c r="D2458" s="102">
        <v>0.29849934226310526</v>
      </c>
    </row>
    <row r="2459" spans="2:4" x14ac:dyDescent="0.25">
      <c r="B2459" s="61">
        <v>2426</v>
      </c>
      <c r="C2459" s="61">
        <v>268573.25277706468</v>
      </c>
      <c r="D2459" s="102">
        <v>0.23700114659804639</v>
      </c>
    </row>
    <row r="2460" spans="2:4" x14ac:dyDescent="0.25">
      <c r="B2460" s="61">
        <v>2427</v>
      </c>
      <c r="C2460" s="61">
        <v>560980.27141101996</v>
      </c>
      <c r="D2460" s="102">
        <v>0.44107309165139919</v>
      </c>
    </row>
    <row r="2461" spans="2:4" x14ac:dyDescent="0.25">
      <c r="B2461" s="61">
        <v>2428</v>
      </c>
      <c r="C2461" s="61">
        <v>497643.73855895072</v>
      </c>
      <c r="D2461" s="102">
        <v>0.41934332048871981</v>
      </c>
    </row>
    <row r="2462" spans="2:4" x14ac:dyDescent="0.25">
      <c r="B2462" s="61">
        <v>2429</v>
      </c>
      <c r="C2462" s="61">
        <v>259421.80122047663</v>
      </c>
      <c r="D2462" s="102">
        <v>0.30053322299320895</v>
      </c>
    </row>
    <row r="2463" spans="2:4" x14ac:dyDescent="0.25">
      <c r="B2463" s="61">
        <v>2430</v>
      </c>
      <c r="C2463" s="61">
        <v>125805.22458301828</v>
      </c>
      <c r="D2463" s="102">
        <v>0.14697790061121307</v>
      </c>
    </row>
    <row r="2464" spans="2:4" x14ac:dyDescent="0.25">
      <c r="B2464" s="61">
        <v>2431</v>
      </c>
      <c r="C2464" s="61">
        <v>297248.13030172454</v>
      </c>
      <c r="D2464" s="102">
        <v>0.30846653891395093</v>
      </c>
    </row>
    <row r="2465" spans="2:4" x14ac:dyDescent="0.25">
      <c r="B2465" s="61">
        <v>2432</v>
      </c>
      <c r="C2465" s="61">
        <v>227239.75733817078</v>
      </c>
      <c r="D2465" s="102">
        <v>0.20155278692593415</v>
      </c>
    </row>
    <row r="2466" spans="2:4" x14ac:dyDescent="0.25">
      <c r="B2466" s="61">
        <v>2433</v>
      </c>
      <c r="C2466" s="61">
        <v>176114.58938466327</v>
      </c>
      <c r="D2466" s="102">
        <v>0.19476323247765381</v>
      </c>
    </row>
    <row r="2467" spans="2:4" x14ac:dyDescent="0.25">
      <c r="B2467" s="61">
        <v>2434</v>
      </c>
      <c r="C2467" s="61">
        <v>372847.62144844048</v>
      </c>
      <c r="D2467" s="102">
        <v>0.34864135969700283</v>
      </c>
    </row>
    <row r="2468" spans="2:4" x14ac:dyDescent="0.25">
      <c r="B2468" s="61">
        <v>2435</v>
      </c>
      <c r="C2468" s="61">
        <v>413485.56276854023</v>
      </c>
      <c r="D2468" s="102">
        <v>0.42009846048078914</v>
      </c>
    </row>
    <row r="2469" spans="2:4" x14ac:dyDescent="0.25">
      <c r="B2469" s="61">
        <v>2436</v>
      </c>
      <c r="C2469" s="61">
        <v>293010.55086116644</v>
      </c>
      <c r="D2469" s="102">
        <v>0.325440886535181</v>
      </c>
    </row>
    <row r="2470" spans="2:4" x14ac:dyDescent="0.25">
      <c r="B2470" s="61">
        <v>2437</v>
      </c>
      <c r="C2470" s="61">
        <v>205630.56373921689</v>
      </c>
      <c r="D2470" s="102">
        <v>0.21586617968155575</v>
      </c>
    </row>
    <row r="2471" spans="2:4" x14ac:dyDescent="0.25">
      <c r="B2471" s="61">
        <v>2438</v>
      </c>
      <c r="C2471" s="61">
        <v>324804.04807406839</v>
      </c>
      <c r="D2471" s="102">
        <v>0.31591024326408723</v>
      </c>
    </row>
    <row r="2472" spans="2:4" x14ac:dyDescent="0.25">
      <c r="B2472" s="61">
        <v>2439</v>
      </c>
      <c r="C2472" s="61">
        <v>287083.52691151737</v>
      </c>
      <c r="D2472" s="102">
        <v>0.23104394209222034</v>
      </c>
    </row>
    <row r="2473" spans="2:4" x14ac:dyDescent="0.25">
      <c r="B2473" s="61">
        <v>2440</v>
      </c>
      <c r="C2473" s="61">
        <v>150853.50921657163</v>
      </c>
      <c r="D2473" s="102">
        <v>0.16986141531346322</v>
      </c>
    </row>
    <row r="2474" spans="2:4" x14ac:dyDescent="0.25">
      <c r="B2474" s="61">
        <v>2441</v>
      </c>
      <c r="C2474" s="61">
        <v>135890.01579568168</v>
      </c>
      <c r="D2474" s="102">
        <v>0.15712105835404078</v>
      </c>
    </row>
    <row r="2475" spans="2:4" x14ac:dyDescent="0.25">
      <c r="B2475" s="61">
        <v>2442</v>
      </c>
      <c r="C2475" s="61">
        <v>222218.14906869119</v>
      </c>
      <c r="D2475" s="102">
        <v>0.20539235348402229</v>
      </c>
    </row>
    <row r="2476" spans="2:4" x14ac:dyDescent="0.25">
      <c r="B2476" s="61">
        <v>2443</v>
      </c>
      <c r="C2476" s="61">
        <v>141943.99960201595</v>
      </c>
      <c r="D2476" s="102">
        <v>0.1658756628178637</v>
      </c>
    </row>
    <row r="2477" spans="2:4" x14ac:dyDescent="0.25">
      <c r="B2477" s="61">
        <v>2444</v>
      </c>
      <c r="C2477" s="61">
        <v>282168.79838467587</v>
      </c>
      <c r="D2477" s="102">
        <v>0.30495763268484288</v>
      </c>
    </row>
    <row r="2478" spans="2:4" x14ac:dyDescent="0.25">
      <c r="B2478" s="61">
        <v>2445</v>
      </c>
      <c r="C2478" s="61">
        <v>331735.07776072714</v>
      </c>
      <c r="D2478" s="102">
        <v>0.33301107493043669</v>
      </c>
    </row>
    <row r="2479" spans="2:4" x14ac:dyDescent="0.25">
      <c r="B2479" s="61">
        <v>2446</v>
      </c>
      <c r="C2479" s="61">
        <v>446056.01545958931</v>
      </c>
      <c r="D2479" s="102">
        <v>0.380592903863751</v>
      </c>
    </row>
    <row r="2480" spans="2:4" x14ac:dyDescent="0.25">
      <c r="B2480" s="61">
        <v>2447</v>
      </c>
      <c r="C2480" s="61">
        <v>279028.31012965098</v>
      </c>
      <c r="D2480" s="102">
        <v>0.27366111914709546</v>
      </c>
    </row>
    <row r="2481" spans="2:4" x14ac:dyDescent="0.25">
      <c r="B2481" s="61">
        <v>2448</v>
      </c>
      <c r="C2481" s="61">
        <v>392121.12440841447</v>
      </c>
      <c r="D2481" s="102">
        <v>0.36813932941190264</v>
      </c>
    </row>
    <row r="2482" spans="2:4" x14ac:dyDescent="0.25">
      <c r="B2482" s="61">
        <v>2449</v>
      </c>
      <c r="C2482" s="61">
        <v>335756.55515921768</v>
      </c>
      <c r="D2482" s="102">
        <v>0.31287265055263225</v>
      </c>
    </row>
    <row r="2483" spans="2:4" x14ac:dyDescent="0.25">
      <c r="B2483" s="61">
        <v>2450</v>
      </c>
      <c r="C2483" s="61">
        <v>161341.81369709328</v>
      </c>
      <c r="D2483" s="102">
        <v>0.19785270600315408</v>
      </c>
    </row>
    <row r="2484" spans="2:4" x14ac:dyDescent="0.25">
      <c r="B2484" s="61">
        <v>2451</v>
      </c>
      <c r="C2484" s="61">
        <v>427004.26007599803</v>
      </c>
      <c r="D2484" s="102">
        <v>0.39442782406748766</v>
      </c>
    </row>
    <row r="2485" spans="2:4" x14ac:dyDescent="0.25">
      <c r="B2485" s="61">
        <v>2452</v>
      </c>
      <c r="C2485" s="61">
        <v>84006.795452144812</v>
      </c>
      <c r="D2485" s="102">
        <v>0.1290209228601169</v>
      </c>
    </row>
    <row r="2486" spans="2:4" x14ac:dyDescent="0.25">
      <c r="B2486" s="61">
        <v>2453</v>
      </c>
      <c r="C2486" s="61">
        <v>160933.19656020089</v>
      </c>
      <c r="D2486" s="102">
        <v>0.17688311307006721</v>
      </c>
    </row>
    <row r="2487" spans="2:4" x14ac:dyDescent="0.25">
      <c r="B2487" s="61">
        <v>2454</v>
      </c>
      <c r="C2487" s="61">
        <v>145885.66974960925</v>
      </c>
      <c r="D2487" s="102">
        <v>0.19961302359326027</v>
      </c>
    </row>
    <row r="2488" spans="2:4" x14ac:dyDescent="0.25">
      <c r="B2488" s="61">
        <v>2455</v>
      </c>
      <c r="C2488" s="61">
        <v>512146.78964877827</v>
      </c>
      <c r="D2488" s="102">
        <v>0.43906439623451243</v>
      </c>
    </row>
    <row r="2489" spans="2:4" x14ac:dyDescent="0.25">
      <c r="B2489" s="61">
        <v>2456</v>
      </c>
      <c r="C2489" s="61">
        <v>388876.07969402033</v>
      </c>
      <c r="D2489" s="102">
        <v>0.36453788645542939</v>
      </c>
    </row>
    <row r="2490" spans="2:4" x14ac:dyDescent="0.25">
      <c r="B2490" s="61">
        <v>2457</v>
      </c>
      <c r="C2490" s="61">
        <v>306255.93807492056</v>
      </c>
      <c r="D2490" s="102">
        <v>0.3642540743102527</v>
      </c>
    </row>
    <row r="2491" spans="2:4" x14ac:dyDescent="0.25">
      <c r="B2491" s="61">
        <v>2458</v>
      </c>
      <c r="C2491" s="61">
        <v>245758.79559205868</v>
      </c>
      <c r="D2491" s="102">
        <v>0.25072833246554405</v>
      </c>
    </row>
    <row r="2492" spans="2:4" x14ac:dyDescent="0.25">
      <c r="B2492" s="61">
        <v>2459</v>
      </c>
      <c r="C2492" s="61">
        <v>472512.55795119912</v>
      </c>
      <c r="D2492" s="102">
        <v>0.45437746506672338</v>
      </c>
    </row>
    <row r="2493" spans="2:4" x14ac:dyDescent="0.25">
      <c r="B2493" s="61">
        <v>2460</v>
      </c>
      <c r="C2493" s="61">
        <v>253029.6480686604</v>
      </c>
      <c r="D2493" s="102">
        <v>0.26254109773872902</v>
      </c>
    </row>
    <row r="2494" spans="2:4" x14ac:dyDescent="0.25">
      <c r="B2494" s="61">
        <v>2461</v>
      </c>
      <c r="C2494" s="61">
        <v>206789.06948679662</v>
      </c>
      <c r="D2494" s="102">
        <v>0.2338982713247344</v>
      </c>
    </row>
    <row r="2495" spans="2:4" x14ac:dyDescent="0.25">
      <c r="B2495" s="61">
        <v>2462</v>
      </c>
      <c r="C2495" s="61">
        <v>480068.16944926372</v>
      </c>
      <c r="D2495" s="102">
        <v>0.57717311937019988</v>
      </c>
    </row>
    <row r="2496" spans="2:4" x14ac:dyDescent="0.25">
      <c r="B2496" s="61">
        <v>2463</v>
      </c>
      <c r="C2496" s="61">
        <v>26317.898464069993</v>
      </c>
      <c r="D2496" s="102">
        <v>8.8170598185539184E-2</v>
      </c>
    </row>
    <row r="2497" spans="2:4" x14ac:dyDescent="0.25">
      <c r="B2497" s="61">
        <v>2464</v>
      </c>
      <c r="C2497" s="61">
        <v>416825.5935147194</v>
      </c>
      <c r="D2497" s="102">
        <v>0.30980777592351827</v>
      </c>
    </row>
    <row r="2498" spans="2:4" x14ac:dyDescent="0.25">
      <c r="B2498" s="61">
        <v>2465</v>
      </c>
      <c r="C2498" s="61">
        <v>266707.82306201488</v>
      </c>
      <c r="D2498" s="102">
        <v>0.2701849734967805</v>
      </c>
    </row>
    <row r="2499" spans="2:4" x14ac:dyDescent="0.25">
      <c r="B2499" s="61">
        <v>2466</v>
      </c>
      <c r="C2499" s="61">
        <v>430448.1908377856</v>
      </c>
      <c r="D2499" s="102">
        <v>0.54260614707566934</v>
      </c>
    </row>
    <row r="2500" spans="2:4" x14ac:dyDescent="0.25">
      <c r="B2500" s="61">
        <v>2467</v>
      </c>
      <c r="C2500" s="61">
        <v>-52400.02643418737</v>
      </c>
      <c r="D2500" s="102">
        <v>1.8251832639266441E-2</v>
      </c>
    </row>
    <row r="2501" spans="2:4" x14ac:dyDescent="0.25">
      <c r="B2501" s="61">
        <v>2468</v>
      </c>
      <c r="C2501" s="61">
        <v>346966.39679388632</v>
      </c>
      <c r="D2501" s="102">
        <v>0.36372616493009158</v>
      </c>
    </row>
    <row r="2502" spans="2:4" x14ac:dyDescent="0.25">
      <c r="B2502" s="61">
        <v>2469</v>
      </c>
      <c r="C2502" s="61">
        <v>160057.24016919453</v>
      </c>
      <c r="D2502" s="102">
        <v>0.2216574276931409</v>
      </c>
    </row>
    <row r="2503" spans="2:4" x14ac:dyDescent="0.25">
      <c r="B2503" s="61">
        <v>2470</v>
      </c>
      <c r="C2503" s="61">
        <v>246280.91019204003</v>
      </c>
      <c r="D2503" s="102">
        <v>0.2640230427117547</v>
      </c>
    </row>
    <row r="2504" spans="2:4" x14ac:dyDescent="0.25">
      <c r="B2504" s="61">
        <v>2471</v>
      </c>
      <c r="C2504" s="61">
        <v>461844.48791419785</v>
      </c>
      <c r="D2504" s="102">
        <v>0.50582652698294739</v>
      </c>
    </row>
    <row r="2505" spans="2:4" x14ac:dyDescent="0.25">
      <c r="B2505" s="61">
        <v>2472</v>
      </c>
      <c r="C2505" s="61">
        <v>68070.896530990722</v>
      </c>
      <c r="D2505" s="102">
        <v>0.12797914606300642</v>
      </c>
    </row>
    <row r="2506" spans="2:4" x14ac:dyDescent="0.25">
      <c r="B2506" s="61">
        <v>2473</v>
      </c>
      <c r="C2506" s="61">
        <v>230524.55999976047</v>
      </c>
      <c r="D2506" s="102">
        <v>0.26301091063049942</v>
      </c>
    </row>
    <row r="2507" spans="2:4" x14ac:dyDescent="0.25">
      <c r="B2507" s="61">
        <v>2474</v>
      </c>
      <c r="C2507" s="61">
        <v>388433.43448546471</v>
      </c>
      <c r="D2507" s="102">
        <v>0.40549336438729844</v>
      </c>
    </row>
    <row r="2508" spans="2:4" x14ac:dyDescent="0.25">
      <c r="B2508" s="61">
        <v>2475</v>
      </c>
      <c r="C2508" s="61">
        <v>353963.37060739915</v>
      </c>
      <c r="D2508" s="102">
        <v>0.34318118449246193</v>
      </c>
    </row>
    <row r="2509" spans="2:4" x14ac:dyDescent="0.25">
      <c r="B2509" s="61">
        <v>2476</v>
      </c>
      <c r="C2509" s="61">
        <v>220845.39844253042</v>
      </c>
      <c r="D2509" s="102">
        <v>0.22329044649539398</v>
      </c>
    </row>
    <row r="2510" spans="2:4" x14ac:dyDescent="0.25">
      <c r="B2510" s="61">
        <v>2477</v>
      </c>
      <c r="C2510" s="61">
        <v>239099.05904778198</v>
      </c>
      <c r="D2510" s="102">
        <v>0.23425638612418487</v>
      </c>
    </row>
    <row r="2511" spans="2:4" x14ac:dyDescent="0.25">
      <c r="B2511" s="61">
        <v>2478</v>
      </c>
      <c r="C2511" s="61">
        <v>136486.48261459969</v>
      </c>
      <c r="D2511" s="102">
        <v>0.18289754577136041</v>
      </c>
    </row>
    <row r="2512" spans="2:4" x14ac:dyDescent="0.25">
      <c r="B2512" s="61">
        <v>2479</v>
      </c>
      <c r="C2512" s="61">
        <v>23109.947111598391</v>
      </c>
      <c r="D2512" s="102">
        <v>9.1817836937621244E-2</v>
      </c>
    </row>
    <row r="2513" spans="2:4" x14ac:dyDescent="0.25">
      <c r="B2513" s="61">
        <v>2480</v>
      </c>
      <c r="C2513" s="61">
        <v>105201.97359476174</v>
      </c>
      <c r="D2513" s="102">
        <v>0.13509458014051412</v>
      </c>
    </row>
    <row r="2514" spans="2:4" x14ac:dyDescent="0.25">
      <c r="B2514" s="61">
        <v>2481</v>
      </c>
      <c r="C2514" s="61">
        <v>79632.277272721869</v>
      </c>
      <c r="D2514" s="102">
        <v>0.11600972137460008</v>
      </c>
    </row>
    <row r="2515" spans="2:4" x14ac:dyDescent="0.25">
      <c r="B2515" s="61">
        <v>2482</v>
      </c>
      <c r="C2515" s="61">
        <v>204425.59429569752</v>
      </c>
      <c r="D2515" s="102">
        <v>0.21540156578133307</v>
      </c>
    </row>
    <row r="2516" spans="2:4" x14ac:dyDescent="0.25">
      <c r="B2516" s="61">
        <v>2483</v>
      </c>
      <c r="C2516" s="61">
        <v>310312.85693994781</v>
      </c>
      <c r="D2516" s="102">
        <v>0.29134253101145391</v>
      </c>
    </row>
    <row r="2517" spans="2:4" x14ac:dyDescent="0.25">
      <c r="B2517" s="61">
        <v>2484</v>
      </c>
      <c r="C2517" s="61">
        <v>182545.44987428258</v>
      </c>
      <c r="D2517" s="102">
        <v>0.22652222041951364</v>
      </c>
    </row>
    <row r="2518" spans="2:4" x14ac:dyDescent="0.25">
      <c r="B2518" s="61">
        <v>2485</v>
      </c>
      <c r="C2518" s="61">
        <v>69879.986522375548</v>
      </c>
      <c r="D2518" s="102">
        <v>0.11106242380150855</v>
      </c>
    </row>
    <row r="2519" spans="2:4" x14ac:dyDescent="0.25">
      <c r="B2519" s="61">
        <v>2486</v>
      </c>
      <c r="C2519" s="61">
        <v>386394.55461485917</v>
      </c>
      <c r="D2519" s="102">
        <v>0.38074240527538117</v>
      </c>
    </row>
    <row r="2520" spans="2:4" x14ac:dyDescent="0.25">
      <c r="B2520" s="61">
        <v>2487</v>
      </c>
      <c r="C2520" s="61">
        <v>530025.76268175535</v>
      </c>
      <c r="D2520" s="102">
        <v>0.37772003778626351</v>
      </c>
    </row>
    <row r="2521" spans="2:4" x14ac:dyDescent="0.25">
      <c r="B2521" s="61">
        <v>2488</v>
      </c>
      <c r="C2521" s="61">
        <v>387351.3044218166</v>
      </c>
      <c r="D2521" s="102">
        <v>0.35023370278597632</v>
      </c>
    </row>
    <row r="2522" spans="2:4" x14ac:dyDescent="0.25">
      <c r="B2522" s="61">
        <v>2489</v>
      </c>
      <c r="C2522" s="61">
        <v>112865.68898705742</v>
      </c>
      <c r="D2522" s="102">
        <v>0.14799456226248631</v>
      </c>
    </row>
    <row r="2523" spans="2:4" x14ac:dyDescent="0.25">
      <c r="B2523" s="61">
        <v>2490</v>
      </c>
      <c r="C2523" s="61">
        <v>468034.83428318775</v>
      </c>
      <c r="D2523" s="102">
        <v>0.4263457714464578</v>
      </c>
    </row>
    <row r="2524" spans="2:4" x14ac:dyDescent="0.25">
      <c r="B2524" s="61">
        <v>2491</v>
      </c>
      <c r="C2524" s="61">
        <v>159071.80344444461</v>
      </c>
      <c r="D2524" s="102">
        <v>0.16701136447247555</v>
      </c>
    </row>
    <row r="2525" spans="2:4" x14ac:dyDescent="0.25">
      <c r="B2525" s="61">
        <v>2492</v>
      </c>
      <c r="C2525" s="61">
        <v>153884.12558444694</v>
      </c>
      <c r="D2525" s="102">
        <v>0.17973465692689561</v>
      </c>
    </row>
    <row r="2526" spans="2:4" x14ac:dyDescent="0.25">
      <c r="B2526" s="61">
        <v>2493</v>
      </c>
      <c r="C2526" s="61">
        <v>268047.44843538501</v>
      </c>
      <c r="D2526" s="102">
        <v>0.31016273871585165</v>
      </c>
    </row>
    <row r="2527" spans="2:4" x14ac:dyDescent="0.25">
      <c r="B2527" s="61">
        <v>2494</v>
      </c>
      <c r="C2527" s="61">
        <v>469363.51576703973</v>
      </c>
      <c r="D2527" s="102">
        <v>0.38883674833733362</v>
      </c>
    </row>
    <row r="2528" spans="2:4" x14ac:dyDescent="0.25">
      <c r="B2528" s="61">
        <v>2495</v>
      </c>
      <c r="C2528" s="61">
        <v>363996.77808824053</v>
      </c>
      <c r="D2528" s="102">
        <v>0.30009552513623095</v>
      </c>
    </row>
    <row r="2529" spans="2:4" x14ac:dyDescent="0.25">
      <c r="B2529" s="61">
        <v>2496</v>
      </c>
      <c r="C2529" s="61">
        <v>258858.63984716963</v>
      </c>
      <c r="D2529" s="102">
        <v>0.30796419918809836</v>
      </c>
    </row>
    <row r="2530" spans="2:4" x14ac:dyDescent="0.25">
      <c r="B2530" s="61">
        <v>2497</v>
      </c>
      <c r="C2530" s="61">
        <v>248688.3561062169</v>
      </c>
      <c r="D2530" s="102">
        <v>0.23859134576194374</v>
      </c>
    </row>
    <row r="2531" spans="2:4" x14ac:dyDescent="0.25">
      <c r="B2531" s="61">
        <v>2498</v>
      </c>
      <c r="C2531" s="61">
        <v>342889.73399907444</v>
      </c>
      <c r="D2531" s="102">
        <v>0.36227702841647291</v>
      </c>
    </row>
    <row r="2532" spans="2:4" x14ac:dyDescent="0.25">
      <c r="B2532" s="61">
        <v>2499</v>
      </c>
      <c r="C2532" s="61">
        <v>141845.03255945316</v>
      </c>
      <c r="D2532" s="102">
        <v>0.16573799668690326</v>
      </c>
    </row>
    <row r="2533" spans="2:4" x14ac:dyDescent="0.25">
      <c r="B2533" s="61">
        <v>2500</v>
      </c>
      <c r="C2533" s="61">
        <v>265352.00824765407</v>
      </c>
      <c r="D2533" s="102">
        <v>0.25647437413052465</v>
      </c>
    </row>
    <row r="2534" spans="2:4" x14ac:dyDescent="0.25">
      <c r="B2534" s="61">
        <v>2501</v>
      </c>
      <c r="C2534" s="61">
        <v>325775.30017361685</v>
      </c>
      <c r="D2534" s="102">
        <v>0.31208734802596583</v>
      </c>
    </row>
    <row r="2535" spans="2:4" x14ac:dyDescent="0.25">
      <c r="B2535" s="61">
        <v>2502</v>
      </c>
      <c r="C2535" s="61">
        <v>398204.08906853921</v>
      </c>
      <c r="D2535" s="102">
        <v>0.38482102137663965</v>
      </c>
    </row>
    <row r="2536" spans="2:4" x14ac:dyDescent="0.25">
      <c r="B2536" s="61">
        <v>2503</v>
      </c>
      <c r="C2536" s="61">
        <v>259995.27972785558</v>
      </c>
      <c r="D2536" s="102">
        <v>0.24032264069868692</v>
      </c>
    </row>
    <row r="2537" spans="2:4" x14ac:dyDescent="0.25">
      <c r="B2537" s="61">
        <v>2504</v>
      </c>
      <c r="C2537" s="61">
        <v>114083.16079281503</v>
      </c>
      <c r="D2537" s="102">
        <v>0.14093967957900189</v>
      </c>
    </row>
    <row r="2538" spans="2:4" x14ac:dyDescent="0.25">
      <c r="B2538" s="61">
        <v>2505</v>
      </c>
      <c r="C2538" s="61">
        <v>327119.19095791515</v>
      </c>
      <c r="D2538" s="102">
        <v>0.31947140399463203</v>
      </c>
    </row>
    <row r="2539" spans="2:4" x14ac:dyDescent="0.25">
      <c r="B2539" s="61">
        <v>2506</v>
      </c>
      <c r="C2539" s="61">
        <v>218389.46755867894</v>
      </c>
      <c r="D2539" s="102">
        <v>0.21430139120639802</v>
      </c>
    </row>
    <row r="2540" spans="2:4" x14ac:dyDescent="0.25">
      <c r="B2540" s="61">
        <v>2507</v>
      </c>
      <c r="C2540" s="61">
        <v>221143.53529102495</v>
      </c>
      <c r="D2540" s="102">
        <v>0.26311075238735748</v>
      </c>
    </row>
    <row r="2541" spans="2:4" x14ac:dyDescent="0.25">
      <c r="B2541" s="61">
        <v>2508</v>
      </c>
      <c r="C2541" s="61">
        <v>218635.99175589508</v>
      </c>
      <c r="D2541" s="102">
        <v>0.2018907454195582</v>
      </c>
    </row>
    <row r="2542" spans="2:4" x14ac:dyDescent="0.25">
      <c r="B2542" s="61">
        <v>2509</v>
      </c>
      <c r="C2542" s="61">
        <v>506420.51939315395</v>
      </c>
      <c r="D2542" s="102">
        <v>0.47735669920960411</v>
      </c>
    </row>
    <row r="2543" spans="2:4" x14ac:dyDescent="0.25">
      <c r="B2543" s="61">
        <v>2510</v>
      </c>
      <c r="C2543" s="61">
        <v>33263.612726044783</v>
      </c>
      <c r="D2543" s="102">
        <v>8.4137012238700626E-2</v>
      </c>
    </row>
    <row r="2544" spans="2:4" x14ac:dyDescent="0.25">
      <c r="B2544" s="61">
        <v>2511</v>
      </c>
      <c r="C2544" s="61">
        <v>147570.18897634832</v>
      </c>
      <c r="D2544" s="102">
        <v>0.24484271211747499</v>
      </c>
    </row>
    <row r="2545" spans="2:4" x14ac:dyDescent="0.25">
      <c r="B2545" s="61">
        <v>2512</v>
      </c>
      <c r="C2545" s="61">
        <v>341275.70325362659</v>
      </c>
      <c r="D2545" s="102">
        <v>0.33715402332911992</v>
      </c>
    </row>
    <row r="2546" spans="2:4" x14ac:dyDescent="0.25">
      <c r="B2546" s="61">
        <v>2513</v>
      </c>
      <c r="C2546" s="61">
        <v>449979.71199278312</v>
      </c>
      <c r="D2546" s="102">
        <v>0.4656790845891543</v>
      </c>
    </row>
    <row r="2547" spans="2:4" x14ac:dyDescent="0.25">
      <c r="B2547" s="61">
        <v>2514</v>
      </c>
      <c r="C2547" s="61">
        <v>-89882.969264501473</v>
      </c>
      <c r="D2547" s="102">
        <v>-1.3954008962060671E-2</v>
      </c>
    </row>
    <row r="2548" spans="2:4" x14ac:dyDescent="0.25">
      <c r="B2548" s="61">
        <v>2515</v>
      </c>
      <c r="C2548" s="61">
        <v>293818.75009244704</v>
      </c>
      <c r="D2548" s="102">
        <v>0.2575206286767715</v>
      </c>
    </row>
    <row r="2549" spans="2:4" x14ac:dyDescent="0.25">
      <c r="B2549" s="61">
        <v>2516</v>
      </c>
      <c r="C2549" s="61">
        <v>203074.70988269057</v>
      </c>
      <c r="D2549" s="102">
        <v>0.21870121699001155</v>
      </c>
    </row>
    <row r="2550" spans="2:4" x14ac:dyDescent="0.25">
      <c r="B2550" s="61">
        <v>2517</v>
      </c>
      <c r="C2550" s="61">
        <v>184592.12621635792</v>
      </c>
      <c r="D2550" s="102">
        <v>0.20353996329200319</v>
      </c>
    </row>
    <row r="2551" spans="2:4" x14ac:dyDescent="0.25">
      <c r="B2551" s="61">
        <v>2518</v>
      </c>
      <c r="C2551" s="61">
        <v>146135.48521286616</v>
      </c>
      <c r="D2551" s="102">
        <v>0.19314022925776264</v>
      </c>
    </row>
    <row r="2552" spans="2:4" x14ac:dyDescent="0.25">
      <c r="B2552" s="61">
        <v>2519</v>
      </c>
      <c r="C2552" s="61">
        <v>291531.75246616045</v>
      </c>
      <c r="D2552" s="102">
        <v>0.31435788921092889</v>
      </c>
    </row>
    <row r="2553" spans="2:4" x14ac:dyDescent="0.25">
      <c r="B2553" s="61">
        <v>2520</v>
      </c>
      <c r="C2553" s="61">
        <v>246714.55013576057</v>
      </c>
      <c r="D2553" s="102">
        <v>0.29393277503150816</v>
      </c>
    </row>
    <row r="2554" spans="2:4" x14ac:dyDescent="0.25">
      <c r="B2554" s="61">
        <v>2521</v>
      </c>
      <c r="C2554" s="61">
        <v>360651.88096269942</v>
      </c>
      <c r="D2554" s="102">
        <v>0.29686950627755193</v>
      </c>
    </row>
    <row r="2555" spans="2:4" x14ac:dyDescent="0.25">
      <c r="B2555" s="61">
        <v>2522</v>
      </c>
      <c r="C2555" s="61">
        <v>344611.03805748909</v>
      </c>
      <c r="D2555" s="102">
        <v>0.28314463769589304</v>
      </c>
    </row>
    <row r="2556" spans="2:4" x14ac:dyDescent="0.25">
      <c r="B2556" s="61">
        <v>2523</v>
      </c>
      <c r="C2556" s="61">
        <v>36476.023123470717</v>
      </c>
      <c r="D2556" s="102">
        <v>9.7118125846830106E-2</v>
      </c>
    </row>
    <row r="2557" spans="2:4" x14ac:dyDescent="0.25">
      <c r="B2557" s="61">
        <v>2524</v>
      </c>
      <c r="C2557" s="61">
        <v>464609.59842218738</v>
      </c>
      <c r="D2557" s="102">
        <v>0.43276598101718045</v>
      </c>
    </row>
    <row r="2558" spans="2:4" x14ac:dyDescent="0.25">
      <c r="B2558" s="61">
        <v>2525</v>
      </c>
      <c r="C2558" s="61">
        <v>406471.61924461729</v>
      </c>
      <c r="D2558" s="102">
        <v>0.37044346039661358</v>
      </c>
    </row>
    <row r="2559" spans="2:4" x14ac:dyDescent="0.25">
      <c r="B2559" s="61">
        <v>2526</v>
      </c>
      <c r="C2559" s="61">
        <v>318343.81340864219</v>
      </c>
      <c r="D2559" s="102">
        <v>0.3289594874418118</v>
      </c>
    </row>
    <row r="2560" spans="2:4" x14ac:dyDescent="0.25">
      <c r="B2560" s="61">
        <v>2527</v>
      </c>
      <c r="C2560" s="61">
        <v>342775.05445064465</v>
      </c>
      <c r="D2560" s="102">
        <v>0.27889553997250105</v>
      </c>
    </row>
    <row r="2561" spans="2:4" x14ac:dyDescent="0.25">
      <c r="B2561" s="61">
        <v>2528</v>
      </c>
      <c r="C2561" s="61">
        <v>347258.5155001675</v>
      </c>
      <c r="D2561" s="102">
        <v>0.34731886046996663</v>
      </c>
    </row>
    <row r="2562" spans="2:4" x14ac:dyDescent="0.25">
      <c r="B2562" s="61">
        <v>2529</v>
      </c>
      <c r="C2562" s="61">
        <v>221366.33629182249</v>
      </c>
      <c r="D2562" s="102">
        <v>0.19295281298447753</v>
      </c>
    </row>
    <row r="2563" spans="2:4" x14ac:dyDescent="0.25">
      <c r="B2563" s="61">
        <v>2530</v>
      </c>
      <c r="C2563" s="61">
        <v>117547.01773841068</v>
      </c>
      <c r="D2563" s="102">
        <v>0.16850183238023453</v>
      </c>
    </row>
    <row r="2564" spans="2:4" x14ac:dyDescent="0.25">
      <c r="B2564" s="61">
        <v>2531</v>
      </c>
      <c r="C2564" s="61">
        <v>109406.10592603241</v>
      </c>
      <c r="D2564" s="102">
        <v>0.16429776797124052</v>
      </c>
    </row>
    <row r="2565" spans="2:4" x14ac:dyDescent="0.25">
      <c r="B2565" s="61">
        <v>2532</v>
      </c>
      <c r="C2565" s="61">
        <v>499506.25020216405</v>
      </c>
      <c r="D2565" s="102">
        <v>0.41062183251153739</v>
      </c>
    </row>
    <row r="2566" spans="2:4" x14ac:dyDescent="0.25">
      <c r="B2566" s="61">
        <v>2533</v>
      </c>
      <c r="C2566" s="61">
        <v>344199.17837125401</v>
      </c>
      <c r="D2566" s="102">
        <v>0.31569485399383135</v>
      </c>
    </row>
    <row r="2567" spans="2:4" x14ac:dyDescent="0.25">
      <c r="B2567" s="61">
        <v>2534</v>
      </c>
      <c r="C2567" s="61">
        <v>350003.72922615753</v>
      </c>
      <c r="D2567" s="102">
        <v>0.35208121001359016</v>
      </c>
    </row>
    <row r="2568" spans="2:4" x14ac:dyDescent="0.25">
      <c r="B2568" s="61">
        <v>2535</v>
      </c>
      <c r="C2568" s="61">
        <v>282075.27153441554</v>
      </c>
      <c r="D2568" s="102">
        <v>0.28483256693308134</v>
      </c>
    </row>
    <row r="2569" spans="2:4" x14ac:dyDescent="0.25">
      <c r="B2569" s="61">
        <v>2536</v>
      </c>
      <c r="C2569" s="61">
        <v>262068.3941995987</v>
      </c>
      <c r="D2569" s="102">
        <v>0.24621166455914412</v>
      </c>
    </row>
    <row r="2570" spans="2:4" x14ac:dyDescent="0.25">
      <c r="B2570" s="61">
        <v>2537</v>
      </c>
      <c r="C2570" s="61">
        <v>13614.352423644101</v>
      </c>
      <c r="D2570" s="102">
        <v>7.5825538225938072E-2</v>
      </c>
    </row>
    <row r="2571" spans="2:4" x14ac:dyDescent="0.25">
      <c r="B2571" s="61">
        <v>2538</v>
      </c>
      <c r="C2571" s="61">
        <v>368873.73386192042</v>
      </c>
      <c r="D2571" s="102">
        <v>0.27517722662154753</v>
      </c>
    </row>
    <row r="2572" spans="2:4" x14ac:dyDescent="0.25">
      <c r="B2572" s="61">
        <v>2539</v>
      </c>
      <c r="C2572" s="61">
        <v>98841.364760752127</v>
      </c>
      <c r="D2572" s="102">
        <v>0.12414690541040274</v>
      </c>
    </row>
    <row r="2573" spans="2:4" x14ac:dyDescent="0.25">
      <c r="B2573" s="61">
        <v>2540</v>
      </c>
      <c r="C2573" s="61">
        <v>232165.2017893804</v>
      </c>
      <c r="D2573" s="102">
        <v>0.24485462268899183</v>
      </c>
    </row>
    <row r="2574" spans="2:4" x14ac:dyDescent="0.25">
      <c r="B2574" s="61">
        <v>2541</v>
      </c>
      <c r="C2574" s="61">
        <v>359443.87298674195</v>
      </c>
      <c r="D2574" s="102">
        <v>0.33111004527427657</v>
      </c>
    </row>
    <row r="2575" spans="2:4" x14ac:dyDescent="0.25">
      <c r="B2575" s="61">
        <v>2542</v>
      </c>
      <c r="C2575" s="61">
        <v>121850.87695085909</v>
      </c>
      <c r="D2575" s="102">
        <v>0.17013499994930092</v>
      </c>
    </row>
    <row r="2576" spans="2:4" x14ac:dyDescent="0.25">
      <c r="B2576" s="61">
        <v>2543</v>
      </c>
      <c r="C2576" s="61">
        <v>199024.88225211832</v>
      </c>
      <c r="D2576" s="102">
        <v>0.24014106014601011</v>
      </c>
    </row>
    <row r="2577" spans="2:4" x14ac:dyDescent="0.25">
      <c r="B2577" s="61">
        <v>2544</v>
      </c>
      <c r="C2577" s="61">
        <v>237987.79340834904</v>
      </c>
      <c r="D2577" s="102">
        <v>0.27023421905831646</v>
      </c>
    </row>
    <row r="2578" spans="2:4" x14ac:dyDescent="0.25">
      <c r="B2578" s="61">
        <v>2545</v>
      </c>
      <c r="C2578" s="61">
        <v>319028.93773828028</v>
      </c>
      <c r="D2578" s="102">
        <v>0.31276759117419051</v>
      </c>
    </row>
    <row r="2579" spans="2:4" x14ac:dyDescent="0.25">
      <c r="B2579" s="61">
        <v>2546</v>
      </c>
      <c r="C2579" s="61">
        <v>215588.83148167527</v>
      </c>
      <c r="D2579" s="102">
        <v>0.27674706596727017</v>
      </c>
    </row>
    <row r="2580" spans="2:4" x14ac:dyDescent="0.25">
      <c r="B2580" s="61">
        <v>2547</v>
      </c>
      <c r="C2580" s="61">
        <v>300738.97827679163</v>
      </c>
      <c r="D2580" s="102">
        <v>0.29848928892197901</v>
      </c>
    </row>
    <row r="2581" spans="2:4" x14ac:dyDescent="0.25">
      <c r="B2581" s="61">
        <v>2548</v>
      </c>
      <c r="C2581" s="61">
        <v>314972.17604015302</v>
      </c>
      <c r="D2581" s="102">
        <v>0.30826670257691569</v>
      </c>
    </row>
    <row r="2582" spans="2:4" x14ac:dyDescent="0.25">
      <c r="B2582" s="61">
        <v>2549</v>
      </c>
      <c r="C2582" s="61">
        <v>358988.61640111741</v>
      </c>
      <c r="D2582" s="102">
        <v>0.3288851914320694</v>
      </c>
    </row>
    <row r="2583" spans="2:4" x14ac:dyDescent="0.25">
      <c r="B2583" s="61">
        <v>2550</v>
      </c>
      <c r="C2583" s="61">
        <v>380871.18549228483</v>
      </c>
      <c r="D2583" s="102">
        <v>0.35794202469153968</v>
      </c>
    </row>
    <row r="2584" spans="2:4" x14ac:dyDescent="0.25">
      <c r="B2584" s="61">
        <v>2551</v>
      </c>
      <c r="C2584" s="61">
        <v>426465.18256572832</v>
      </c>
      <c r="D2584" s="102">
        <v>0.32329205552707529</v>
      </c>
    </row>
    <row r="2585" spans="2:4" x14ac:dyDescent="0.25">
      <c r="B2585" s="61">
        <v>2552</v>
      </c>
      <c r="C2585" s="61">
        <v>149204.93063610443</v>
      </c>
      <c r="D2585" s="102">
        <v>0.21194842234556588</v>
      </c>
    </row>
    <row r="2586" spans="2:4" x14ac:dyDescent="0.25">
      <c r="B2586" s="61">
        <v>2553</v>
      </c>
      <c r="C2586" s="61">
        <v>-44128.00679909758</v>
      </c>
      <c r="D2586" s="102">
        <v>2.8835214767699791E-2</v>
      </c>
    </row>
    <row r="2587" spans="2:4" x14ac:dyDescent="0.25">
      <c r="B2587" s="61">
        <v>2554</v>
      </c>
      <c r="C2587" s="61">
        <v>453164.68818815448</v>
      </c>
      <c r="D2587" s="102">
        <v>0.42434975252779816</v>
      </c>
    </row>
    <row r="2588" spans="2:4" x14ac:dyDescent="0.25">
      <c r="B2588" s="61">
        <v>2555</v>
      </c>
      <c r="C2588" s="61">
        <v>295862.1666828288</v>
      </c>
      <c r="D2588" s="102">
        <v>0.2631436800094249</v>
      </c>
    </row>
    <row r="2589" spans="2:4" x14ac:dyDescent="0.25">
      <c r="B2589" s="61">
        <v>2556</v>
      </c>
      <c r="C2589" s="61">
        <v>90192.08150578331</v>
      </c>
      <c r="D2589" s="102">
        <v>0.12665524557025654</v>
      </c>
    </row>
    <row r="2590" spans="2:4" x14ac:dyDescent="0.25">
      <c r="B2590" s="61">
        <v>2557</v>
      </c>
      <c r="C2590" s="61">
        <v>347426.88193331053</v>
      </c>
      <c r="D2590" s="102">
        <v>0.3484609149096094</v>
      </c>
    </row>
    <row r="2591" spans="2:4" x14ac:dyDescent="0.25">
      <c r="B2591" s="61">
        <v>2558</v>
      </c>
      <c r="C2591" s="61">
        <v>399041.6123340741</v>
      </c>
      <c r="D2591" s="102">
        <v>0.37885110214625728</v>
      </c>
    </row>
    <row r="2592" spans="2:4" x14ac:dyDescent="0.25">
      <c r="B2592" s="61">
        <v>2559</v>
      </c>
      <c r="C2592" s="61">
        <v>231540.046088228</v>
      </c>
      <c r="D2592" s="102">
        <v>0.2818206078850567</v>
      </c>
    </row>
    <row r="2593" spans="2:4" x14ac:dyDescent="0.25">
      <c r="B2593" s="61">
        <v>2560</v>
      </c>
      <c r="C2593" s="61">
        <v>190202.63840162975</v>
      </c>
      <c r="D2593" s="102">
        <v>0.18516950077621086</v>
      </c>
    </row>
    <row r="2594" spans="2:4" x14ac:dyDescent="0.25">
      <c r="B2594" s="61">
        <v>2561</v>
      </c>
      <c r="C2594" s="61">
        <v>180803.56215813837</v>
      </c>
      <c r="D2594" s="102">
        <v>0.20070730738189413</v>
      </c>
    </row>
    <row r="2595" spans="2:4" x14ac:dyDescent="0.25">
      <c r="B2595" s="61">
        <v>2562</v>
      </c>
      <c r="C2595" s="61">
        <v>217813.5612998202</v>
      </c>
      <c r="D2595" s="102">
        <v>0.25427636889471272</v>
      </c>
    </row>
    <row r="2596" spans="2:4" x14ac:dyDescent="0.25">
      <c r="B2596" s="61">
        <v>2563</v>
      </c>
      <c r="C2596" s="61">
        <v>384221.22941109026</v>
      </c>
      <c r="D2596" s="102">
        <v>0.33071788978079719</v>
      </c>
    </row>
    <row r="2597" spans="2:4" x14ac:dyDescent="0.25">
      <c r="B2597" s="61">
        <v>2564</v>
      </c>
      <c r="C2597" s="61">
        <v>241718.17311378417</v>
      </c>
      <c r="D2597" s="102">
        <v>0.26421563870670384</v>
      </c>
    </row>
    <row r="2598" spans="2:4" x14ac:dyDescent="0.25">
      <c r="B2598" s="61">
        <v>2565</v>
      </c>
      <c r="C2598" s="61">
        <v>281996.02878246491</v>
      </c>
      <c r="D2598" s="102">
        <v>0.26767464478973158</v>
      </c>
    </row>
    <row r="2599" spans="2:4" x14ac:dyDescent="0.25">
      <c r="B2599" s="61">
        <v>2566</v>
      </c>
      <c r="C2599" s="61">
        <v>226119.99656440178</v>
      </c>
      <c r="D2599" s="102">
        <v>0.27819127798153764</v>
      </c>
    </row>
    <row r="2600" spans="2:4" x14ac:dyDescent="0.25">
      <c r="B2600" s="61">
        <v>2567</v>
      </c>
      <c r="C2600" s="61">
        <v>244881.40233470581</v>
      </c>
      <c r="D2600" s="102">
        <v>0.26994690848883218</v>
      </c>
    </row>
    <row r="2601" spans="2:4" x14ac:dyDescent="0.25">
      <c r="B2601" s="61">
        <v>2568</v>
      </c>
      <c r="C2601" s="61">
        <v>465079.13153879892</v>
      </c>
      <c r="D2601" s="102">
        <v>0.44286232184805252</v>
      </c>
    </row>
    <row r="2602" spans="2:4" x14ac:dyDescent="0.25">
      <c r="B2602" s="61">
        <v>2569</v>
      </c>
      <c r="C2602" s="61">
        <v>221428.70960100077</v>
      </c>
      <c r="D2602" s="102">
        <v>0.24639213856572661</v>
      </c>
    </row>
    <row r="2603" spans="2:4" x14ac:dyDescent="0.25">
      <c r="B2603" s="61">
        <v>2570</v>
      </c>
      <c r="C2603" s="61">
        <v>354694.8458657373</v>
      </c>
      <c r="D2603" s="102">
        <v>0.29494977450259374</v>
      </c>
    </row>
    <row r="2604" spans="2:4" x14ac:dyDescent="0.25">
      <c r="B2604" s="61">
        <v>2571</v>
      </c>
      <c r="C2604" s="61">
        <v>250316.93078289239</v>
      </c>
      <c r="D2604" s="102">
        <v>0.26045659273320498</v>
      </c>
    </row>
    <row r="2605" spans="2:4" x14ac:dyDescent="0.25">
      <c r="B2605" s="61">
        <v>2572</v>
      </c>
      <c r="C2605" s="61">
        <v>252750.56770232448</v>
      </c>
      <c r="D2605" s="102">
        <v>0.23733219295628283</v>
      </c>
    </row>
    <row r="2606" spans="2:4" x14ac:dyDescent="0.25">
      <c r="B2606" s="61">
        <v>2573</v>
      </c>
      <c r="C2606" s="61">
        <v>204156.50201551698</v>
      </c>
      <c r="D2606" s="102">
        <v>0.19216761914031211</v>
      </c>
    </row>
    <row r="2607" spans="2:4" x14ac:dyDescent="0.25">
      <c r="B2607" s="61">
        <v>2574</v>
      </c>
      <c r="C2607" s="61">
        <v>376864.78974492685</v>
      </c>
      <c r="D2607" s="102">
        <v>0.37557879601033584</v>
      </c>
    </row>
    <row r="2608" spans="2:4" x14ac:dyDescent="0.25">
      <c r="B2608" s="61">
        <v>2575</v>
      </c>
      <c r="C2608" s="61">
        <v>295386.05505103234</v>
      </c>
      <c r="D2608" s="102">
        <v>0.32165455928660869</v>
      </c>
    </row>
    <row r="2609" spans="2:4" x14ac:dyDescent="0.25">
      <c r="B2609" s="61">
        <v>2576</v>
      </c>
      <c r="C2609" s="61">
        <v>439143.45559617551</v>
      </c>
      <c r="D2609" s="102">
        <v>0.38307963717824967</v>
      </c>
    </row>
    <row r="2610" spans="2:4" x14ac:dyDescent="0.25">
      <c r="B2610" s="61">
        <v>2577</v>
      </c>
      <c r="C2610" s="61">
        <v>273642.98708658351</v>
      </c>
      <c r="D2610" s="102">
        <v>0.26645101748961952</v>
      </c>
    </row>
    <row r="2611" spans="2:4" x14ac:dyDescent="0.25">
      <c r="B2611" s="61">
        <v>2578</v>
      </c>
      <c r="C2611" s="61">
        <v>546556.26860389835</v>
      </c>
      <c r="D2611" s="102">
        <v>0.46410948769591243</v>
      </c>
    </row>
    <row r="2612" spans="2:4" x14ac:dyDescent="0.25">
      <c r="B2612" s="61">
        <v>2579</v>
      </c>
      <c r="C2612" s="61">
        <v>267581.42285510909</v>
      </c>
      <c r="D2612" s="102">
        <v>0.25728643676361029</v>
      </c>
    </row>
    <row r="2613" spans="2:4" x14ac:dyDescent="0.25">
      <c r="B2613" s="61">
        <v>2580</v>
      </c>
      <c r="C2613" s="61">
        <v>148449.88708737842</v>
      </c>
      <c r="D2613" s="102">
        <v>0.18383420113615601</v>
      </c>
    </row>
    <row r="2614" spans="2:4" x14ac:dyDescent="0.25">
      <c r="B2614" s="61">
        <v>2581</v>
      </c>
      <c r="C2614" s="61">
        <v>401021.59225740924</v>
      </c>
      <c r="D2614" s="102">
        <v>0.33781370967450908</v>
      </c>
    </row>
    <row r="2615" spans="2:4" x14ac:dyDescent="0.25">
      <c r="B2615" s="61">
        <v>2582</v>
      </c>
      <c r="C2615" s="61">
        <v>333901.64004748967</v>
      </c>
      <c r="D2615" s="102">
        <v>0.30109530139695595</v>
      </c>
    </row>
    <row r="2616" spans="2:4" x14ac:dyDescent="0.25">
      <c r="B2616" s="61">
        <v>2583</v>
      </c>
      <c r="C2616" s="61">
        <v>256155.65098732256</v>
      </c>
      <c r="D2616" s="102">
        <v>0.26739495672351987</v>
      </c>
    </row>
    <row r="2617" spans="2:4" x14ac:dyDescent="0.25">
      <c r="B2617" s="61">
        <v>2584</v>
      </c>
      <c r="C2617" s="61">
        <v>466998.02435227646</v>
      </c>
      <c r="D2617" s="102">
        <v>0.41569256457420489</v>
      </c>
    </row>
    <row r="2618" spans="2:4" x14ac:dyDescent="0.25">
      <c r="B2618" s="61">
        <v>2585</v>
      </c>
      <c r="C2618" s="61">
        <v>361507.44734662888</v>
      </c>
      <c r="D2618" s="102">
        <v>0.36200393857692981</v>
      </c>
    </row>
    <row r="2619" spans="2:4" x14ac:dyDescent="0.25">
      <c r="B2619" s="61">
        <v>2586</v>
      </c>
      <c r="C2619" s="61">
        <v>419982.4628541657</v>
      </c>
      <c r="D2619" s="102">
        <v>0.40848434138829925</v>
      </c>
    </row>
    <row r="2620" spans="2:4" x14ac:dyDescent="0.25">
      <c r="B2620" s="61">
        <v>2587</v>
      </c>
      <c r="C2620" s="61">
        <v>1155.9700601305813</v>
      </c>
      <c r="D2620" s="102">
        <v>6.4192675062605176E-2</v>
      </c>
    </row>
    <row r="2621" spans="2:4" x14ac:dyDescent="0.25">
      <c r="B2621" s="61">
        <v>2588</v>
      </c>
      <c r="C2621" s="61">
        <v>211871.41295127932</v>
      </c>
      <c r="D2621" s="102">
        <v>0.23573050536793794</v>
      </c>
    </row>
    <row r="2622" spans="2:4" x14ac:dyDescent="0.25">
      <c r="B2622" s="61">
        <v>2589</v>
      </c>
      <c r="C2622" s="61">
        <v>485035.78582611622</v>
      </c>
      <c r="D2622" s="102">
        <v>0.4307246946483132</v>
      </c>
    </row>
    <row r="2623" spans="2:4" x14ac:dyDescent="0.25">
      <c r="B2623" s="61">
        <v>2590</v>
      </c>
      <c r="C2623" s="61">
        <v>217668.04277881351</v>
      </c>
      <c r="D2623" s="102">
        <v>0.21343354467582265</v>
      </c>
    </row>
    <row r="2624" spans="2:4" x14ac:dyDescent="0.25">
      <c r="B2624" s="61">
        <v>2591</v>
      </c>
      <c r="C2624" s="61">
        <v>186981.25677733449</v>
      </c>
      <c r="D2624" s="102">
        <v>0.23060516221649063</v>
      </c>
    </row>
    <row r="2625" spans="2:4" x14ac:dyDescent="0.25">
      <c r="B2625" s="61">
        <v>2592</v>
      </c>
      <c r="C2625" s="61">
        <v>136024.45027531724</v>
      </c>
      <c r="D2625" s="102">
        <v>0.17273719904880491</v>
      </c>
    </row>
    <row r="2626" spans="2:4" x14ac:dyDescent="0.25">
      <c r="B2626" s="61">
        <v>2593</v>
      </c>
      <c r="C2626" s="61">
        <v>216980.03718664916</v>
      </c>
      <c r="D2626" s="102">
        <v>0.27481349023743284</v>
      </c>
    </row>
    <row r="2627" spans="2:4" x14ac:dyDescent="0.25">
      <c r="B2627" s="61">
        <v>2594</v>
      </c>
      <c r="C2627" s="61">
        <v>234890.38039014721</v>
      </c>
      <c r="D2627" s="102">
        <v>0.30713627163921853</v>
      </c>
    </row>
    <row r="2628" spans="2:4" x14ac:dyDescent="0.25">
      <c r="B2628" s="61">
        <v>2595</v>
      </c>
      <c r="C2628" s="61">
        <v>364975.48670798051</v>
      </c>
      <c r="D2628" s="102">
        <v>0.38757466604394319</v>
      </c>
    </row>
    <row r="2629" spans="2:4" x14ac:dyDescent="0.25">
      <c r="B2629" s="61">
        <v>2596</v>
      </c>
      <c r="C2629" s="61">
        <v>148463.07912114117</v>
      </c>
      <c r="D2629" s="102">
        <v>0.17719766633380019</v>
      </c>
    </row>
    <row r="2630" spans="2:4" x14ac:dyDescent="0.25">
      <c r="B2630" s="61">
        <v>2597</v>
      </c>
      <c r="C2630" s="61">
        <v>209372.63534091308</v>
      </c>
      <c r="D2630" s="102">
        <v>0.20985979950155764</v>
      </c>
    </row>
    <row r="2631" spans="2:4" x14ac:dyDescent="0.25">
      <c r="B2631" s="61">
        <v>2598</v>
      </c>
      <c r="C2631" s="61">
        <v>172283.64095513767</v>
      </c>
      <c r="D2631" s="102">
        <v>0.19419016112711129</v>
      </c>
    </row>
    <row r="2632" spans="2:4" x14ac:dyDescent="0.25">
      <c r="B2632" s="61">
        <v>2599</v>
      </c>
      <c r="C2632" s="61">
        <v>228494.17519032373</v>
      </c>
      <c r="D2632" s="102">
        <v>0.24102979954971526</v>
      </c>
    </row>
    <row r="2633" spans="2:4" x14ac:dyDescent="0.25">
      <c r="B2633" s="61">
        <v>2600</v>
      </c>
      <c r="C2633" s="61">
        <v>347906.03076798306</v>
      </c>
      <c r="D2633" s="102">
        <v>0.38301363789141574</v>
      </c>
    </row>
    <row r="2634" spans="2:4" x14ac:dyDescent="0.25">
      <c r="B2634" s="61">
        <v>2601</v>
      </c>
      <c r="C2634" s="61">
        <v>273750.45606351621</v>
      </c>
      <c r="D2634" s="102">
        <v>0.26823378726088798</v>
      </c>
    </row>
    <row r="2635" spans="2:4" x14ac:dyDescent="0.25">
      <c r="B2635" s="61">
        <v>2602</v>
      </c>
      <c r="C2635" s="61">
        <v>379959.28588515508</v>
      </c>
      <c r="D2635" s="102">
        <v>0.35831012446489385</v>
      </c>
    </row>
    <row r="2636" spans="2:4" x14ac:dyDescent="0.25">
      <c r="B2636" s="61">
        <v>2603</v>
      </c>
      <c r="C2636" s="61">
        <v>295900.55164003652</v>
      </c>
      <c r="D2636" s="102">
        <v>0.35584416306530042</v>
      </c>
    </row>
    <row r="2637" spans="2:4" x14ac:dyDescent="0.25">
      <c r="B2637" s="61">
        <v>2604</v>
      </c>
      <c r="C2637" s="61">
        <v>394312.07369769318</v>
      </c>
      <c r="D2637" s="102">
        <v>0.41306605592933177</v>
      </c>
    </row>
    <row r="2638" spans="2:4" x14ac:dyDescent="0.25">
      <c r="B2638" s="61">
        <v>2605</v>
      </c>
      <c r="C2638" s="61">
        <v>141133.58456729603</v>
      </c>
      <c r="D2638" s="102">
        <v>0.16488198755445138</v>
      </c>
    </row>
    <row r="2639" spans="2:4" x14ac:dyDescent="0.25">
      <c r="B2639" s="61">
        <v>2606</v>
      </c>
      <c r="C2639" s="61">
        <v>162775.9435968746</v>
      </c>
      <c r="D2639" s="102">
        <v>0.20279136280160048</v>
      </c>
    </row>
    <row r="2640" spans="2:4" x14ac:dyDescent="0.25">
      <c r="B2640" s="61">
        <v>2607</v>
      </c>
      <c r="C2640" s="61">
        <v>291778.3758002558</v>
      </c>
      <c r="D2640" s="102">
        <v>0.35640832965274316</v>
      </c>
    </row>
    <row r="2641" spans="2:4" x14ac:dyDescent="0.25">
      <c r="B2641" s="61">
        <v>2608</v>
      </c>
      <c r="C2641" s="61">
        <v>380946.14217270468</v>
      </c>
      <c r="D2641" s="102">
        <v>0.30704796932268064</v>
      </c>
    </row>
    <row r="2642" spans="2:4" x14ac:dyDescent="0.25">
      <c r="B2642" s="61">
        <v>2609</v>
      </c>
      <c r="C2642" s="61">
        <v>165621.03167960513</v>
      </c>
      <c r="D2642" s="102">
        <v>0.17909854817787618</v>
      </c>
    </row>
    <row r="2643" spans="2:4" x14ac:dyDescent="0.25">
      <c r="B2643" s="61">
        <v>2610</v>
      </c>
      <c r="C2643" s="61">
        <v>208272.54022323422</v>
      </c>
      <c r="D2643" s="102">
        <v>0.21274243566480133</v>
      </c>
    </row>
    <row r="2644" spans="2:4" x14ac:dyDescent="0.25">
      <c r="B2644" s="61">
        <v>2611</v>
      </c>
      <c r="C2644" s="61">
        <v>414411.19907723099</v>
      </c>
      <c r="D2644" s="102">
        <v>0.36755353603117213</v>
      </c>
    </row>
    <row r="2645" spans="2:4" x14ac:dyDescent="0.25">
      <c r="B2645" s="61">
        <v>2612</v>
      </c>
      <c r="C2645" s="61">
        <v>62319.208763361967</v>
      </c>
      <c r="D2645" s="102">
        <v>0.12030201913981187</v>
      </c>
    </row>
    <row r="2646" spans="2:4" x14ac:dyDescent="0.25">
      <c r="B2646" s="61">
        <v>2613</v>
      </c>
      <c r="C2646" s="61">
        <v>234310.43843001232</v>
      </c>
      <c r="D2646" s="102">
        <v>0.32428624831074915</v>
      </c>
    </row>
    <row r="2647" spans="2:4" x14ac:dyDescent="0.25">
      <c r="B2647" s="61">
        <v>2614</v>
      </c>
      <c r="C2647" s="61">
        <v>284351.39848371781</v>
      </c>
      <c r="D2647" s="102">
        <v>0.25336023832310661</v>
      </c>
    </row>
    <row r="2648" spans="2:4" x14ac:dyDescent="0.25">
      <c r="B2648" s="61">
        <v>2615</v>
      </c>
      <c r="C2648" s="61">
        <v>212232.02122135356</v>
      </c>
      <c r="D2648" s="102">
        <v>0.22333069597052835</v>
      </c>
    </row>
    <row r="2649" spans="2:4" x14ac:dyDescent="0.25">
      <c r="B2649" s="61">
        <v>2616</v>
      </c>
      <c r="C2649" s="61">
        <v>478449.79445381346</v>
      </c>
      <c r="D2649" s="102">
        <v>0.4095493663704699</v>
      </c>
    </row>
    <row r="2650" spans="2:4" x14ac:dyDescent="0.25">
      <c r="B2650" s="61">
        <v>2617</v>
      </c>
      <c r="C2650" s="61">
        <v>286104.62018131337</v>
      </c>
      <c r="D2650" s="102">
        <v>0.26934648332139544</v>
      </c>
    </row>
    <row r="2651" spans="2:4" x14ac:dyDescent="0.25">
      <c r="B2651" s="61">
        <v>2618</v>
      </c>
      <c r="C2651" s="61">
        <v>414647.30962037889</v>
      </c>
      <c r="D2651" s="102">
        <v>0.37632927149219597</v>
      </c>
    </row>
    <row r="2652" spans="2:4" x14ac:dyDescent="0.25">
      <c r="B2652" s="61">
        <v>2619</v>
      </c>
      <c r="C2652" s="61">
        <v>177531.87462855584</v>
      </c>
      <c r="D2652" s="102">
        <v>0.22861134223484059</v>
      </c>
    </row>
    <row r="2653" spans="2:4" x14ac:dyDescent="0.25">
      <c r="B2653" s="61">
        <v>2620</v>
      </c>
      <c r="C2653" s="61">
        <v>346162.12882579782</v>
      </c>
      <c r="D2653" s="102">
        <v>0.29741135403336694</v>
      </c>
    </row>
    <row r="2654" spans="2:4" x14ac:dyDescent="0.25">
      <c r="B2654" s="61">
        <v>2621</v>
      </c>
      <c r="C2654" s="61">
        <v>180410.16077090218</v>
      </c>
      <c r="D2654" s="102">
        <v>0.21564905127800826</v>
      </c>
    </row>
    <row r="2655" spans="2:4" x14ac:dyDescent="0.25">
      <c r="B2655" s="61">
        <v>2622</v>
      </c>
      <c r="C2655" s="61">
        <v>190770.83050928859</v>
      </c>
      <c r="D2655" s="102">
        <v>0.22274136922782506</v>
      </c>
    </row>
    <row r="2656" spans="2:4" x14ac:dyDescent="0.25">
      <c r="B2656" s="61">
        <v>2623</v>
      </c>
      <c r="C2656" s="61">
        <v>468983.91443891241</v>
      </c>
      <c r="D2656" s="102">
        <v>0.47917159466629178</v>
      </c>
    </row>
    <row r="2657" spans="2:4" x14ac:dyDescent="0.25">
      <c r="B2657" s="61">
        <v>2624</v>
      </c>
      <c r="C2657" s="61">
        <v>182001.78667123441</v>
      </c>
      <c r="D2657" s="102">
        <v>0.23531276635141718</v>
      </c>
    </row>
    <row r="2658" spans="2:4" x14ac:dyDescent="0.25">
      <c r="B2658" s="61">
        <v>2625</v>
      </c>
      <c r="C2658" s="61">
        <v>218788.62805505062</v>
      </c>
      <c r="D2658" s="102">
        <v>0.22601824079387312</v>
      </c>
    </row>
    <row r="2659" spans="2:4" x14ac:dyDescent="0.25">
      <c r="B2659" s="61">
        <v>2626</v>
      </c>
      <c r="C2659" s="61">
        <v>391555.04447225889</v>
      </c>
      <c r="D2659" s="102">
        <v>0.38325049794686517</v>
      </c>
    </row>
    <row r="2660" spans="2:4" x14ac:dyDescent="0.25">
      <c r="B2660" s="61">
        <v>2627</v>
      </c>
      <c r="C2660" s="61">
        <v>257112.81709000398</v>
      </c>
      <c r="D2660" s="102">
        <v>0.2874301231226275</v>
      </c>
    </row>
    <row r="2661" spans="2:4" x14ac:dyDescent="0.25">
      <c r="B2661" s="61">
        <v>2628</v>
      </c>
      <c r="C2661" s="61">
        <v>285650.8494964923</v>
      </c>
      <c r="D2661" s="102">
        <v>0.23618905822281833</v>
      </c>
    </row>
    <row r="2662" spans="2:4" x14ac:dyDescent="0.25">
      <c r="B2662" s="61">
        <v>2629</v>
      </c>
      <c r="C2662" s="61">
        <v>206014.39972711995</v>
      </c>
      <c r="D2662" s="102">
        <v>0.21556622340623433</v>
      </c>
    </row>
    <row r="2663" spans="2:4" x14ac:dyDescent="0.25">
      <c r="B2663" s="61">
        <v>2630</v>
      </c>
      <c r="C2663" s="61">
        <v>362158.01225249609</v>
      </c>
      <c r="D2663" s="102">
        <v>0.34446415033733491</v>
      </c>
    </row>
    <row r="2664" spans="2:4" x14ac:dyDescent="0.25">
      <c r="B2664" s="61">
        <v>2631</v>
      </c>
      <c r="C2664" s="61">
        <v>319087.51544281514</v>
      </c>
      <c r="D2664" s="102">
        <v>0.3383830556774321</v>
      </c>
    </row>
    <row r="2665" spans="2:4" x14ac:dyDescent="0.25">
      <c r="B2665" s="61">
        <v>2632</v>
      </c>
      <c r="C2665" s="61">
        <v>225254.49627083319</v>
      </c>
      <c r="D2665" s="102">
        <v>0.22199362982997539</v>
      </c>
    </row>
    <row r="2666" spans="2:4" x14ac:dyDescent="0.25">
      <c r="B2666" s="61">
        <v>2633</v>
      </c>
      <c r="C2666" s="61">
        <v>251381.51226010488</v>
      </c>
      <c r="D2666" s="102">
        <v>0.27767993851615036</v>
      </c>
    </row>
    <row r="2667" spans="2:4" x14ac:dyDescent="0.25">
      <c r="B2667" s="61">
        <v>2634</v>
      </c>
      <c r="C2667" s="61">
        <v>-104672.59609626213</v>
      </c>
      <c r="D2667" s="102">
        <v>-2.5898751859337654E-2</v>
      </c>
    </row>
    <row r="2668" spans="2:4" x14ac:dyDescent="0.25">
      <c r="B2668" s="61">
        <v>2635</v>
      </c>
      <c r="C2668" s="61">
        <v>212809.51212965895</v>
      </c>
      <c r="D2668" s="102">
        <v>0.25633947332112816</v>
      </c>
    </row>
    <row r="2669" spans="2:4" x14ac:dyDescent="0.25">
      <c r="B2669" s="61">
        <v>2636</v>
      </c>
      <c r="C2669" s="61">
        <v>311435.87952909293</v>
      </c>
      <c r="D2669" s="102">
        <v>0.32212379769265143</v>
      </c>
    </row>
    <row r="2670" spans="2:4" x14ac:dyDescent="0.25">
      <c r="B2670" s="61">
        <v>2637</v>
      </c>
      <c r="C2670" s="61">
        <v>245477.01819021674</v>
      </c>
      <c r="D2670" s="102">
        <v>0.26765115049333876</v>
      </c>
    </row>
    <row r="2671" spans="2:4" x14ac:dyDescent="0.25">
      <c r="B2671" s="61">
        <v>2638</v>
      </c>
      <c r="C2671" s="61">
        <v>392915.79675673647</v>
      </c>
      <c r="D2671" s="102">
        <v>0.36760079322204486</v>
      </c>
    </row>
    <row r="2672" spans="2:4" x14ac:dyDescent="0.25">
      <c r="B2672" s="61">
        <v>2639</v>
      </c>
      <c r="C2672" s="61">
        <v>207432.98534488073</v>
      </c>
      <c r="D2672" s="102">
        <v>0.20988194021465589</v>
      </c>
    </row>
    <row r="2673" spans="2:4" x14ac:dyDescent="0.25">
      <c r="B2673" s="61">
        <v>2640</v>
      </c>
      <c r="C2673" s="61">
        <v>89220.027180209581</v>
      </c>
      <c r="D2673" s="102">
        <v>0.14548872187793371</v>
      </c>
    </row>
    <row r="2674" spans="2:4" x14ac:dyDescent="0.25">
      <c r="B2674" s="61">
        <v>2641</v>
      </c>
      <c r="C2674" s="61">
        <v>315381.67192579643</v>
      </c>
      <c r="D2674" s="102">
        <v>0.35664245651781257</v>
      </c>
    </row>
    <row r="2675" spans="2:4" x14ac:dyDescent="0.25">
      <c r="B2675" s="61">
        <v>2642</v>
      </c>
      <c r="C2675" s="61">
        <v>290486.88733545528</v>
      </c>
      <c r="D2675" s="102">
        <v>0.28291269436374922</v>
      </c>
    </row>
    <row r="2676" spans="2:4" x14ac:dyDescent="0.25">
      <c r="B2676" s="61">
        <v>2643</v>
      </c>
      <c r="C2676" s="61">
        <v>260918.39493830269</v>
      </c>
      <c r="D2676" s="102">
        <v>0.2325734580099228</v>
      </c>
    </row>
    <row r="2677" spans="2:4" x14ac:dyDescent="0.25">
      <c r="B2677" s="61">
        <v>2644</v>
      </c>
      <c r="C2677" s="61">
        <v>226718.17595335806</v>
      </c>
      <c r="D2677" s="102">
        <v>0.23097906225097042</v>
      </c>
    </row>
    <row r="2678" spans="2:4" x14ac:dyDescent="0.25">
      <c r="B2678" s="61">
        <v>2645</v>
      </c>
      <c r="C2678" s="61">
        <v>539285.5280193527</v>
      </c>
      <c r="D2678" s="102">
        <v>0.43701927752212733</v>
      </c>
    </row>
    <row r="2679" spans="2:4" x14ac:dyDescent="0.25">
      <c r="B2679" s="61">
        <v>2646</v>
      </c>
      <c r="C2679" s="61">
        <v>275115.94636782899</v>
      </c>
      <c r="D2679" s="102">
        <v>0.2477415434405299</v>
      </c>
    </row>
    <row r="2680" spans="2:4" x14ac:dyDescent="0.25">
      <c r="B2680" s="61">
        <v>2647</v>
      </c>
      <c r="C2680" s="61">
        <v>195584.33399475703</v>
      </c>
      <c r="D2680" s="102">
        <v>0.21765203106592379</v>
      </c>
    </row>
    <row r="2681" spans="2:4" x14ac:dyDescent="0.25">
      <c r="B2681" s="61">
        <v>2648</v>
      </c>
      <c r="C2681" s="61">
        <v>278386.12199559424</v>
      </c>
      <c r="D2681" s="102">
        <v>0.31618350624751246</v>
      </c>
    </row>
    <row r="2682" spans="2:4" x14ac:dyDescent="0.25">
      <c r="B2682" s="61">
        <v>2649</v>
      </c>
      <c r="C2682" s="61">
        <v>315822.42531018972</v>
      </c>
      <c r="D2682" s="102">
        <v>0.29380211098109799</v>
      </c>
    </row>
    <row r="2683" spans="2:4" x14ac:dyDescent="0.25">
      <c r="B2683" s="61">
        <v>2650</v>
      </c>
      <c r="C2683" s="61">
        <v>178553.25202307489</v>
      </c>
      <c r="D2683" s="102">
        <v>0.20241648544375757</v>
      </c>
    </row>
    <row r="2684" spans="2:4" x14ac:dyDescent="0.25">
      <c r="B2684" s="61">
        <v>2651</v>
      </c>
      <c r="C2684" s="61">
        <v>110347.8642014598</v>
      </c>
      <c r="D2684" s="102">
        <v>0.15445364095140124</v>
      </c>
    </row>
    <row r="2685" spans="2:4" x14ac:dyDescent="0.25">
      <c r="B2685" s="61">
        <v>2652</v>
      </c>
      <c r="C2685" s="61">
        <v>526891.92829851422</v>
      </c>
      <c r="D2685" s="102">
        <v>0.50000442153465285</v>
      </c>
    </row>
    <row r="2686" spans="2:4" x14ac:dyDescent="0.25">
      <c r="B2686" s="61">
        <v>2653</v>
      </c>
      <c r="C2686" s="61">
        <v>77972.955810105021</v>
      </c>
      <c r="D2686" s="102">
        <v>0.15230214463191705</v>
      </c>
    </row>
    <row r="2687" spans="2:4" x14ac:dyDescent="0.25">
      <c r="B2687" s="61">
        <v>2654</v>
      </c>
      <c r="C2687" s="61">
        <v>410236.99726916861</v>
      </c>
      <c r="D2687" s="102">
        <v>0.39242984213357901</v>
      </c>
    </row>
    <row r="2688" spans="2:4" x14ac:dyDescent="0.25">
      <c r="B2688" s="61">
        <v>2655</v>
      </c>
      <c r="C2688" s="61">
        <v>145944.65766741137</v>
      </c>
      <c r="D2688" s="102">
        <v>0.17920436533122253</v>
      </c>
    </row>
    <row r="2689" spans="2:4" x14ac:dyDescent="0.25">
      <c r="B2689" s="61">
        <v>2656</v>
      </c>
      <c r="C2689" s="61">
        <v>106426.60078287584</v>
      </c>
      <c r="D2689" s="102">
        <v>0.13406696990672473</v>
      </c>
    </row>
    <row r="2690" spans="2:4" x14ac:dyDescent="0.25">
      <c r="B2690" s="61">
        <v>2657</v>
      </c>
      <c r="C2690" s="61">
        <v>-59496.520628001366</v>
      </c>
      <c r="D2690" s="102">
        <v>1.5138187945404891E-2</v>
      </c>
    </row>
    <row r="2691" spans="2:4" x14ac:dyDescent="0.25">
      <c r="B2691" s="61">
        <v>2658</v>
      </c>
      <c r="C2691" s="61">
        <v>157004.37452174712</v>
      </c>
      <c r="D2691" s="102">
        <v>0.17969725478565568</v>
      </c>
    </row>
    <row r="2692" spans="2:4" x14ac:dyDescent="0.25">
      <c r="B2692" s="61">
        <v>2659</v>
      </c>
      <c r="C2692" s="61">
        <v>569940.13346868427</v>
      </c>
      <c r="D2692" s="102">
        <v>0.51857151043801553</v>
      </c>
    </row>
    <row r="2693" spans="2:4" x14ac:dyDescent="0.25">
      <c r="B2693" s="61">
        <v>2660</v>
      </c>
      <c r="C2693" s="61">
        <v>478477.11963636905</v>
      </c>
      <c r="D2693" s="102">
        <v>0.44264631293157386</v>
      </c>
    </row>
    <row r="2694" spans="2:4" x14ac:dyDescent="0.25">
      <c r="B2694" s="61">
        <v>2661</v>
      </c>
      <c r="C2694" s="61">
        <v>292739.45423504722</v>
      </c>
      <c r="D2694" s="102">
        <v>0.27660769844773347</v>
      </c>
    </row>
    <row r="2695" spans="2:4" x14ac:dyDescent="0.25">
      <c r="B2695" s="61">
        <v>2662</v>
      </c>
      <c r="C2695" s="61">
        <v>152076.83766529144</v>
      </c>
      <c r="D2695" s="102">
        <v>0.21963127468414112</v>
      </c>
    </row>
    <row r="2696" spans="2:4" x14ac:dyDescent="0.25">
      <c r="B2696" s="61">
        <v>2663</v>
      </c>
      <c r="C2696" s="61">
        <v>330732.67464964697</v>
      </c>
      <c r="D2696" s="102">
        <v>0.29303222429117182</v>
      </c>
    </row>
    <row r="2697" spans="2:4" x14ac:dyDescent="0.25">
      <c r="B2697" s="61">
        <v>2664</v>
      </c>
      <c r="C2697" s="61">
        <v>192357.76722456235</v>
      </c>
      <c r="D2697" s="102">
        <v>0.19127210603796829</v>
      </c>
    </row>
    <row r="2698" spans="2:4" x14ac:dyDescent="0.25">
      <c r="B2698" s="61">
        <v>2665</v>
      </c>
      <c r="C2698" s="61">
        <v>211777.86733657494</v>
      </c>
      <c r="D2698" s="102">
        <v>0.25473018477718945</v>
      </c>
    </row>
    <row r="2699" spans="2:4" x14ac:dyDescent="0.25">
      <c r="B2699" s="61">
        <v>2666</v>
      </c>
      <c r="C2699" s="61">
        <v>275004.64271840756</v>
      </c>
      <c r="D2699" s="102">
        <v>0.26159161407984288</v>
      </c>
    </row>
    <row r="2700" spans="2:4" x14ac:dyDescent="0.25">
      <c r="B2700" s="61">
        <v>2667</v>
      </c>
      <c r="C2700" s="61">
        <v>355850.72495616204</v>
      </c>
      <c r="D2700" s="102">
        <v>0.31212078060452275</v>
      </c>
    </row>
    <row r="2701" spans="2:4" x14ac:dyDescent="0.25">
      <c r="B2701" s="61">
        <v>2668</v>
      </c>
      <c r="C2701" s="61">
        <v>162153.83400835702</v>
      </c>
      <c r="D2701" s="102">
        <v>0.21697576771652116</v>
      </c>
    </row>
    <row r="2702" spans="2:4" x14ac:dyDescent="0.25">
      <c r="B2702" s="61">
        <v>2669</v>
      </c>
      <c r="C2702" s="61">
        <v>411522.54855289427</v>
      </c>
      <c r="D2702" s="102">
        <v>0.35614219010717418</v>
      </c>
    </row>
    <row r="2703" spans="2:4" x14ac:dyDescent="0.25">
      <c r="B2703" s="61">
        <v>2670</v>
      </c>
      <c r="C2703" s="61">
        <v>71534.396693155169</v>
      </c>
      <c r="D2703" s="102">
        <v>0.1260560758173972</v>
      </c>
    </row>
    <row r="2704" spans="2:4" x14ac:dyDescent="0.25">
      <c r="B2704" s="61">
        <v>2671</v>
      </c>
      <c r="C2704" s="61">
        <v>238591.51735761738</v>
      </c>
      <c r="D2704" s="102">
        <v>0.22476997185902059</v>
      </c>
    </row>
    <row r="2705" spans="2:4" x14ac:dyDescent="0.25">
      <c r="B2705" s="61">
        <v>2672</v>
      </c>
      <c r="C2705" s="61">
        <v>167801.80892720178</v>
      </c>
      <c r="D2705" s="102">
        <v>0.17359133439977081</v>
      </c>
    </row>
    <row r="2706" spans="2:4" x14ac:dyDescent="0.25">
      <c r="B2706" s="61">
        <v>2673</v>
      </c>
      <c r="C2706" s="61">
        <v>460351.37837231334</v>
      </c>
      <c r="D2706" s="102">
        <v>0.40272569747675657</v>
      </c>
    </row>
    <row r="2707" spans="2:4" x14ac:dyDescent="0.25">
      <c r="B2707" s="61">
        <v>2674</v>
      </c>
      <c r="C2707" s="61">
        <v>515781.84356125805</v>
      </c>
      <c r="D2707" s="102">
        <v>0.45353676294976197</v>
      </c>
    </row>
    <row r="2708" spans="2:4" x14ac:dyDescent="0.25">
      <c r="B2708" s="61">
        <v>2675</v>
      </c>
      <c r="C2708" s="61">
        <v>239898.69248100172</v>
      </c>
      <c r="D2708" s="102">
        <v>0.30412134172667349</v>
      </c>
    </row>
    <row r="2709" spans="2:4" x14ac:dyDescent="0.25">
      <c r="B2709" s="61">
        <v>2676</v>
      </c>
      <c r="C2709" s="61">
        <v>185268.7134772545</v>
      </c>
      <c r="D2709" s="102">
        <v>0.22182093391968372</v>
      </c>
    </row>
    <row r="2710" spans="2:4" x14ac:dyDescent="0.25">
      <c r="B2710" s="61">
        <v>2677</v>
      </c>
      <c r="C2710" s="61">
        <v>178111.46119045967</v>
      </c>
      <c r="D2710" s="102">
        <v>0.23730469286573053</v>
      </c>
    </row>
    <row r="2711" spans="2:4" x14ac:dyDescent="0.25">
      <c r="B2711" s="61">
        <v>2678</v>
      </c>
      <c r="C2711" s="61">
        <v>65424.006340481341</v>
      </c>
      <c r="D2711" s="102">
        <v>0.11182932973282145</v>
      </c>
    </row>
    <row r="2712" spans="2:4" x14ac:dyDescent="0.25">
      <c r="B2712" s="61">
        <v>2679</v>
      </c>
      <c r="C2712" s="61">
        <v>422529.53677059966</v>
      </c>
      <c r="D2712" s="102">
        <v>0.35735893087374859</v>
      </c>
    </row>
    <row r="2713" spans="2:4" x14ac:dyDescent="0.25">
      <c r="B2713" s="61">
        <v>2680</v>
      </c>
      <c r="C2713" s="61">
        <v>204169.57527436106</v>
      </c>
      <c r="D2713" s="102">
        <v>0.20927394068556771</v>
      </c>
    </row>
    <row r="2714" spans="2:4" x14ac:dyDescent="0.25">
      <c r="B2714" s="61">
        <v>2681</v>
      </c>
      <c r="C2714" s="61">
        <v>269075.81671118294</v>
      </c>
      <c r="D2714" s="102">
        <v>0.26122901448806513</v>
      </c>
    </row>
    <row r="2715" spans="2:4" x14ac:dyDescent="0.25">
      <c r="B2715" s="61">
        <v>2682</v>
      </c>
      <c r="C2715" s="61">
        <v>315234.89456702513</v>
      </c>
      <c r="D2715" s="102">
        <v>0.26069799052006326</v>
      </c>
    </row>
    <row r="2716" spans="2:4" x14ac:dyDescent="0.25">
      <c r="B2716" s="61">
        <v>2683</v>
      </c>
      <c r="C2716" s="61">
        <v>518943.95640314568</v>
      </c>
      <c r="D2716" s="102">
        <v>0.35071735452009101</v>
      </c>
    </row>
    <row r="2717" spans="2:4" x14ac:dyDescent="0.25">
      <c r="B2717" s="61">
        <v>2684</v>
      </c>
      <c r="C2717" s="61">
        <v>417732.70447741624</v>
      </c>
      <c r="D2717" s="102">
        <v>0.3480490431969534</v>
      </c>
    </row>
    <row r="2718" spans="2:4" x14ac:dyDescent="0.25">
      <c r="B2718" s="61">
        <v>2685</v>
      </c>
      <c r="C2718" s="61">
        <v>402301.53722002916</v>
      </c>
      <c r="D2718" s="102">
        <v>0.34436922217779253</v>
      </c>
    </row>
    <row r="2719" spans="2:4" x14ac:dyDescent="0.25">
      <c r="B2719" s="61">
        <v>2686</v>
      </c>
      <c r="C2719" s="61">
        <v>160834.01121921651</v>
      </c>
      <c r="D2719" s="102">
        <v>0.19358484440687995</v>
      </c>
    </row>
    <row r="2720" spans="2:4" x14ac:dyDescent="0.25">
      <c r="B2720" s="61">
        <v>2687</v>
      </c>
      <c r="C2720" s="61">
        <v>407318.61913690693</v>
      </c>
      <c r="D2720" s="102">
        <v>0.41809431185559487</v>
      </c>
    </row>
    <row r="2721" spans="2:4" x14ac:dyDescent="0.25">
      <c r="B2721" s="61">
        <v>2688</v>
      </c>
      <c r="C2721" s="61">
        <v>123893.36520105088</v>
      </c>
      <c r="D2721" s="102">
        <v>0.15508301254299228</v>
      </c>
    </row>
    <row r="2722" spans="2:4" x14ac:dyDescent="0.25">
      <c r="B2722" s="61">
        <v>2689</v>
      </c>
      <c r="C2722" s="61">
        <v>102080.46237488306</v>
      </c>
      <c r="D2722" s="102">
        <v>0.1525705570786442</v>
      </c>
    </row>
    <row r="2723" spans="2:4" x14ac:dyDescent="0.25">
      <c r="B2723" s="61">
        <v>2690</v>
      </c>
      <c r="C2723" s="61">
        <v>356009.16248106642</v>
      </c>
      <c r="D2723" s="102">
        <v>0.30494030445999787</v>
      </c>
    </row>
    <row r="2724" spans="2:4" x14ac:dyDescent="0.25">
      <c r="B2724" s="61">
        <v>2691</v>
      </c>
      <c r="C2724" s="61">
        <v>-32313.807818469708</v>
      </c>
      <c r="D2724" s="102">
        <v>2.5795794512379233E-2</v>
      </c>
    </row>
    <row r="2725" spans="2:4" x14ac:dyDescent="0.25">
      <c r="B2725" s="61">
        <v>2692</v>
      </c>
      <c r="C2725" s="61">
        <v>515193.52658121882</v>
      </c>
      <c r="D2725" s="102">
        <v>0.54185620308109717</v>
      </c>
    </row>
    <row r="2726" spans="2:4" x14ac:dyDescent="0.25">
      <c r="B2726" s="61">
        <v>2693</v>
      </c>
      <c r="C2726" s="61">
        <v>404728.20246861316</v>
      </c>
      <c r="D2726" s="102">
        <v>0.37081870346170476</v>
      </c>
    </row>
    <row r="2727" spans="2:4" x14ac:dyDescent="0.25">
      <c r="B2727" s="61">
        <v>2694</v>
      </c>
      <c r="C2727" s="61">
        <v>269838.10314487643</v>
      </c>
      <c r="D2727" s="102">
        <v>0.30488608054288102</v>
      </c>
    </row>
    <row r="2728" spans="2:4" x14ac:dyDescent="0.25">
      <c r="B2728" s="61">
        <v>2695</v>
      </c>
      <c r="C2728" s="61">
        <v>336192.36931429722</v>
      </c>
      <c r="D2728" s="102">
        <v>0.35982574670087919</v>
      </c>
    </row>
    <row r="2729" spans="2:4" x14ac:dyDescent="0.25">
      <c r="B2729" s="61">
        <v>2696</v>
      </c>
      <c r="C2729" s="61">
        <v>90368.056924920471</v>
      </c>
      <c r="D2729" s="102">
        <v>0.12918738914957606</v>
      </c>
    </row>
    <row r="2730" spans="2:4" x14ac:dyDescent="0.25">
      <c r="B2730" s="61">
        <v>2697</v>
      </c>
      <c r="C2730" s="61">
        <v>398820.33144022571</v>
      </c>
      <c r="D2730" s="102">
        <v>0.38712843379569195</v>
      </c>
    </row>
    <row r="2731" spans="2:4" x14ac:dyDescent="0.25">
      <c r="B2731" s="61">
        <v>2698</v>
      </c>
      <c r="C2731" s="61">
        <v>402482.32920115592</v>
      </c>
      <c r="D2731" s="102">
        <v>0.41334105604115035</v>
      </c>
    </row>
    <row r="2732" spans="2:4" x14ac:dyDescent="0.25">
      <c r="B2732" s="61">
        <v>2699</v>
      </c>
      <c r="C2732" s="61">
        <v>294630.98291357071</v>
      </c>
      <c r="D2732" s="102">
        <v>0.29201696213612816</v>
      </c>
    </row>
    <row r="2733" spans="2:4" x14ac:dyDescent="0.25">
      <c r="B2733" s="61">
        <v>2700</v>
      </c>
      <c r="C2733" s="61">
        <v>129561.71341967641</v>
      </c>
      <c r="D2733" s="102">
        <v>0.16344131533750406</v>
      </c>
    </row>
    <row r="2734" spans="2:4" x14ac:dyDescent="0.25">
      <c r="B2734" s="61">
        <v>2701</v>
      </c>
      <c r="C2734" s="61">
        <v>178525.62357544235</v>
      </c>
      <c r="D2734" s="102">
        <v>0.23927124173416092</v>
      </c>
    </row>
    <row r="2735" spans="2:4" x14ac:dyDescent="0.25">
      <c r="B2735" s="61">
        <v>2702</v>
      </c>
      <c r="C2735" s="61">
        <v>214458.23662929516</v>
      </c>
      <c r="D2735" s="102">
        <v>0.20878677027336279</v>
      </c>
    </row>
    <row r="2736" spans="2:4" x14ac:dyDescent="0.25">
      <c r="B2736" s="61">
        <v>2703</v>
      </c>
      <c r="C2736" s="61">
        <v>237301.02956875449</v>
      </c>
      <c r="D2736" s="102">
        <v>0.26053944146391506</v>
      </c>
    </row>
    <row r="2737" spans="2:4" x14ac:dyDescent="0.25">
      <c r="B2737" s="61">
        <v>2704</v>
      </c>
      <c r="C2737" s="61">
        <v>355142.09323007823</v>
      </c>
      <c r="D2737" s="102">
        <v>0.28498744841400203</v>
      </c>
    </row>
    <row r="2738" spans="2:4" x14ac:dyDescent="0.25">
      <c r="B2738" s="61">
        <v>2705</v>
      </c>
      <c r="C2738" s="61">
        <v>132417.27039024193</v>
      </c>
      <c r="D2738" s="102">
        <v>0.15382434738982953</v>
      </c>
    </row>
    <row r="2739" spans="2:4" x14ac:dyDescent="0.25">
      <c r="B2739" s="61">
        <v>2706</v>
      </c>
      <c r="C2739" s="61">
        <v>85366.376130039222</v>
      </c>
      <c r="D2739" s="102">
        <v>0.11768220004336527</v>
      </c>
    </row>
    <row r="2740" spans="2:4" x14ac:dyDescent="0.25">
      <c r="B2740" s="61">
        <v>2707</v>
      </c>
      <c r="C2740" s="61">
        <v>191492.15309216292</v>
      </c>
      <c r="D2740" s="102">
        <v>0.20479927279397114</v>
      </c>
    </row>
    <row r="2741" spans="2:4" x14ac:dyDescent="0.25">
      <c r="B2741" s="61">
        <v>2708</v>
      </c>
      <c r="C2741" s="61">
        <v>326287.63124480238</v>
      </c>
      <c r="D2741" s="102">
        <v>0.3148586981206678</v>
      </c>
    </row>
    <row r="2742" spans="2:4" x14ac:dyDescent="0.25">
      <c r="B2742" s="61">
        <v>2709</v>
      </c>
      <c r="C2742" s="61">
        <v>100208.44248554244</v>
      </c>
      <c r="D2742" s="102">
        <v>0.14323062751501547</v>
      </c>
    </row>
    <row r="2743" spans="2:4" x14ac:dyDescent="0.25">
      <c r="B2743" s="61">
        <v>2710</v>
      </c>
      <c r="C2743" s="61">
        <v>368727.86455446715</v>
      </c>
      <c r="D2743" s="102">
        <v>0.3166782682277578</v>
      </c>
    </row>
    <row r="2744" spans="2:4" x14ac:dyDescent="0.25">
      <c r="B2744" s="61">
        <v>2711</v>
      </c>
      <c r="C2744" s="61">
        <v>198456.60877290438</v>
      </c>
      <c r="D2744" s="102">
        <v>0.19546451339003723</v>
      </c>
    </row>
    <row r="2745" spans="2:4" x14ac:dyDescent="0.25">
      <c r="B2745" s="61">
        <v>2712</v>
      </c>
      <c r="C2745" s="61">
        <v>265203.75207107933</v>
      </c>
      <c r="D2745" s="102">
        <v>0.23940577614978742</v>
      </c>
    </row>
    <row r="2746" spans="2:4" x14ac:dyDescent="0.25">
      <c r="B2746" s="61">
        <v>2713</v>
      </c>
      <c r="C2746" s="61">
        <v>125875.37716777396</v>
      </c>
      <c r="D2746" s="102">
        <v>0.16741282776937272</v>
      </c>
    </row>
    <row r="2747" spans="2:4" x14ac:dyDescent="0.25">
      <c r="B2747" s="61">
        <v>2714</v>
      </c>
      <c r="C2747" s="61">
        <v>270380.83604729408</v>
      </c>
      <c r="D2747" s="102">
        <v>0.31146114150974857</v>
      </c>
    </row>
    <row r="2748" spans="2:4" x14ac:dyDescent="0.25">
      <c r="B2748" s="61">
        <v>2715</v>
      </c>
      <c r="C2748" s="61">
        <v>-2828.5216555973748</v>
      </c>
      <c r="D2748" s="102">
        <v>6.1317596761874649E-2</v>
      </c>
    </row>
    <row r="2749" spans="2:4" x14ac:dyDescent="0.25">
      <c r="B2749" s="61">
        <v>2716</v>
      </c>
      <c r="C2749" s="61">
        <v>371343.12060746679</v>
      </c>
      <c r="D2749" s="102">
        <v>0.33784040133447113</v>
      </c>
    </row>
    <row r="2750" spans="2:4" x14ac:dyDescent="0.25">
      <c r="B2750" s="61">
        <v>2717</v>
      </c>
      <c r="C2750" s="61">
        <v>294144.87175138539</v>
      </c>
      <c r="D2750" s="102">
        <v>0.32313645090929488</v>
      </c>
    </row>
    <row r="2751" spans="2:4" x14ac:dyDescent="0.25">
      <c r="B2751" s="61">
        <v>2718</v>
      </c>
      <c r="C2751" s="61">
        <v>43236.297470704187</v>
      </c>
      <c r="D2751" s="102">
        <v>9.8003365031165357E-2</v>
      </c>
    </row>
    <row r="2752" spans="2:4" x14ac:dyDescent="0.25">
      <c r="B2752" s="61">
        <v>2719</v>
      </c>
      <c r="C2752" s="61">
        <v>240465.28888191376</v>
      </c>
      <c r="D2752" s="102">
        <v>0.24444929101103963</v>
      </c>
    </row>
    <row r="2753" spans="2:4" x14ac:dyDescent="0.25">
      <c r="B2753" s="61">
        <v>2720</v>
      </c>
      <c r="C2753" s="61">
        <v>329188.87128167937</v>
      </c>
      <c r="D2753" s="102">
        <v>0.33382477918003883</v>
      </c>
    </row>
    <row r="2754" spans="2:4" x14ac:dyDescent="0.25">
      <c r="B2754" s="61">
        <v>2721</v>
      </c>
      <c r="C2754" s="61">
        <v>219828.12735811865</v>
      </c>
      <c r="D2754" s="102">
        <v>0.22793265679138908</v>
      </c>
    </row>
    <row r="2755" spans="2:4" x14ac:dyDescent="0.25">
      <c r="B2755" s="61">
        <v>2722</v>
      </c>
      <c r="C2755" s="61">
        <v>393412.5338716876</v>
      </c>
      <c r="D2755" s="102">
        <v>0.42829663213292823</v>
      </c>
    </row>
    <row r="2756" spans="2:4" x14ac:dyDescent="0.25">
      <c r="B2756" s="61">
        <v>2723</v>
      </c>
      <c r="C2756" s="61">
        <v>480611.65623061126</v>
      </c>
      <c r="D2756" s="102">
        <v>0.51211953085244688</v>
      </c>
    </row>
    <row r="2757" spans="2:4" x14ac:dyDescent="0.25">
      <c r="B2757" s="61">
        <v>2724</v>
      </c>
      <c r="C2757" s="61">
        <v>123369.110269545</v>
      </c>
      <c r="D2757" s="102">
        <v>0.15258424228958645</v>
      </c>
    </row>
    <row r="2758" spans="2:4" x14ac:dyDescent="0.25">
      <c r="B2758" s="61">
        <v>2725</v>
      </c>
      <c r="C2758" s="61">
        <v>469078.79801603069</v>
      </c>
      <c r="D2758" s="102">
        <v>0.41135461170783216</v>
      </c>
    </row>
    <row r="2759" spans="2:4" x14ac:dyDescent="0.25">
      <c r="B2759" s="61">
        <v>2726</v>
      </c>
      <c r="C2759" s="61">
        <v>328986.63591794425</v>
      </c>
      <c r="D2759" s="102">
        <v>0.25863786040154491</v>
      </c>
    </row>
    <row r="2760" spans="2:4" x14ac:dyDescent="0.25">
      <c r="B2760" s="61">
        <v>2727</v>
      </c>
      <c r="C2760" s="61">
        <v>75308.221881971287</v>
      </c>
      <c r="D2760" s="102">
        <v>0.11857389588515765</v>
      </c>
    </row>
    <row r="2761" spans="2:4" x14ac:dyDescent="0.25">
      <c r="B2761" s="61">
        <v>2728</v>
      </c>
      <c r="C2761" s="61">
        <v>186818.09278587927</v>
      </c>
      <c r="D2761" s="102">
        <v>0.20558017737205536</v>
      </c>
    </row>
    <row r="2762" spans="2:4" x14ac:dyDescent="0.25">
      <c r="B2762" s="61">
        <v>2729</v>
      </c>
      <c r="C2762" s="61">
        <v>356199.73036194954</v>
      </c>
      <c r="D2762" s="102">
        <v>0.31281908550749615</v>
      </c>
    </row>
    <row r="2763" spans="2:4" x14ac:dyDescent="0.25">
      <c r="B2763" s="61">
        <v>2730</v>
      </c>
      <c r="C2763" s="61">
        <v>296405.63690846146</v>
      </c>
      <c r="D2763" s="102">
        <v>0.33162300471652939</v>
      </c>
    </row>
    <row r="2764" spans="2:4" x14ac:dyDescent="0.25">
      <c r="B2764" s="61">
        <v>2731</v>
      </c>
      <c r="C2764" s="61">
        <v>165290.26565596682</v>
      </c>
      <c r="D2764" s="102">
        <v>0.24689009371984771</v>
      </c>
    </row>
    <row r="2765" spans="2:4" x14ac:dyDescent="0.25">
      <c r="B2765" s="61">
        <v>2732</v>
      </c>
      <c r="C2765" s="61">
        <v>540729.96307481651</v>
      </c>
      <c r="D2765" s="102">
        <v>0.39981015143505139</v>
      </c>
    </row>
    <row r="2766" spans="2:4" x14ac:dyDescent="0.25">
      <c r="B2766" s="61">
        <v>2733</v>
      </c>
      <c r="C2766" s="61">
        <v>29085.841072781186</v>
      </c>
      <c r="D2766" s="102">
        <v>8.8936749862610354E-2</v>
      </c>
    </row>
    <row r="2767" spans="2:4" x14ac:dyDescent="0.25">
      <c r="B2767" s="61">
        <v>2734</v>
      </c>
      <c r="C2767" s="61">
        <v>144286.9273107794</v>
      </c>
      <c r="D2767" s="102">
        <v>0.162091754159577</v>
      </c>
    </row>
    <row r="2768" spans="2:4" x14ac:dyDescent="0.25">
      <c r="B2768" s="61">
        <v>2735</v>
      </c>
      <c r="C2768" s="61">
        <v>48864.378439989698</v>
      </c>
      <c r="D2768" s="102">
        <v>9.3942835842919736E-2</v>
      </c>
    </row>
    <row r="2769" spans="2:4" x14ac:dyDescent="0.25">
      <c r="B2769" s="61">
        <v>2736</v>
      </c>
      <c r="C2769" s="61">
        <v>311203.89253978536</v>
      </c>
      <c r="D2769" s="102">
        <v>0.33737725312881239</v>
      </c>
    </row>
    <row r="2770" spans="2:4" x14ac:dyDescent="0.25">
      <c r="B2770" s="61">
        <v>2737</v>
      </c>
      <c r="C2770" s="61">
        <v>292447.05907620932</v>
      </c>
      <c r="D2770" s="102">
        <v>0.27766009325475083</v>
      </c>
    </row>
    <row r="2771" spans="2:4" x14ac:dyDescent="0.25">
      <c r="B2771" s="61">
        <v>2738</v>
      </c>
      <c r="C2771" s="61">
        <v>293369.44912083133</v>
      </c>
      <c r="D2771" s="102">
        <v>0.35070883306646161</v>
      </c>
    </row>
    <row r="2772" spans="2:4" x14ac:dyDescent="0.25">
      <c r="B2772" s="61">
        <v>2739</v>
      </c>
      <c r="C2772" s="61">
        <v>-7395.0957310796948</v>
      </c>
      <c r="D2772" s="102">
        <v>5.8000483183510143E-2</v>
      </c>
    </row>
    <row r="2773" spans="2:4" x14ac:dyDescent="0.25">
      <c r="B2773" s="61">
        <v>2740</v>
      </c>
      <c r="C2773" s="61">
        <v>312379.99577966053</v>
      </c>
      <c r="D2773" s="102">
        <v>0.32843643651356014</v>
      </c>
    </row>
    <row r="2774" spans="2:4" x14ac:dyDescent="0.25">
      <c r="B2774" s="61">
        <v>2741</v>
      </c>
      <c r="C2774" s="61">
        <v>237116.33997220348</v>
      </c>
      <c r="D2774" s="102">
        <v>0.21631055271639044</v>
      </c>
    </row>
    <row r="2775" spans="2:4" x14ac:dyDescent="0.25">
      <c r="B2775" s="61">
        <v>2742</v>
      </c>
      <c r="C2775" s="61">
        <v>510406.64893127617</v>
      </c>
      <c r="D2775" s="102">
        <v>0.43447897107906819</v>
      </c>
    </row>
    <row r="2776" spans="2:4" x14ac:dyDescent="0.25">
      <c r="B2776" s="61">
        <v>2743</v>
      </c>
      <c r="C2776" s="61">
        <v>397362.29595800454</v>
      </c>
      <c r="D2776" s="102">
        <v>0.35385848506469952</v>
      </c>
    </row>
    <row r="2777" spans="2:4" x14ac:dyDescent="0.25">
      <c r="B2777" s="61">
        <v>2744</v>
      </c>
      <c r="C2777" s="61">
        <v>414422.84104777151</v>
      </c>
      <c r="D2777" s="102">
        <v>0.50171205426521714</v>
      </c>
    </row>
    <row r="2778" spans="2:4" x14ac:dyDescent="0.25">
      <c r="B2778" s="61">
        <v>2745</v>
      </c>
      <c r="C2778" s="61">
        <v>195623.01968901232</v>
      </c>
      <c r="D2778" s="102">
        <v>0.22690713631083237</v>
      </c>
    </row>
    <row r="2779" spans="2:4" x14ac:dyDescent="0.25">
      <c r="B2779" s="61">
        <v>2746</v>
      </c>
      <c r="C2779" s="61">
        <v>248086.16563176783</v>
      </c>
      <c r="D2779" s="102">
        <v>0.30843194577545718</v>
      </c>
    </row>
    <row r="2780" spans="2:4" x14ac:dyDescent="0.25">
      <c r="B2780" s="61">
        <v>2747</v>
      </c>
      <c r="C2780" s="61">
        <v>143143.79895483278</v>
      </c>
      <c r="D2780" s="102">
        <v>0.16318226651216294</v>
      </c>
    </row>
    <row r="2781" spans="2:4" x14ac:dyDescent="0.25">
      <c r="B2781" s="61">
        <v>2748</v>
      </c>
      <c r="C2781" s="61">
        <v>168361.02062738931</v>
      </c>
      <c r="D2781" s="102">
        <v>0.21498637797023123</v>
      </c>
    </row>
    <row r="2782" spans="2:4" x14ac:dyDescent="0.25">
      <c r="B2782" s="61">
        <v>2749</v>
      </c>
      <c r="C2782" s="61">
        <v>61640.985603001434</v>
      </c>
      <c r="D2782" s="102">
        <v>0.11454546552498401</v>
      </c>
    </row>
    <row r="2783" spans="2:4" x14ac:dyDescent="0.25">
      <c r="B2783" s="61">
        <v>2750</v>
      </c>
      <c r="C2783" s="61">
        <v>315407.40873597597</v>
      </c>
      <c r="D2783" s="102">
        <v>0.33782967861285318</v>
      </c>
    </row>
    <row r="2784" spans="2:4" x14ac:dyDescent="0.25">
      <c r="B2784" s="61">
        <v>2751</v>
      </c>
      <c r="C2784" s="61">
        <v>390091.36581049464</v>
      </c>
      <c r="D2784" s="102">
        <v>0.35899202643744421</v>
      </c>
    </row>
    <row r="2785" spans="2:4" x14ac:dyDescent="0.25">
      <c r="B2785" s="61">
        <v>2752</v>
      </c>
      <c r="C2785" s="61">
        <v>303900.44486111752</v>
      </c>
      <c r="D2785" s="102">
        <v>0.31200638647928991</v>
      </c>
    </row>
    <row r="2786" spans="2:4" x14ac:dyDescent="0.25">
      <c r="B2786" s="61">
        <v>2753</v>
      </c>
      <c r="C2786" s="61">
        <v>73303.087517932989</v>
      </c>
      <c r="D2786" s="102">
        <v>0.12418124433431266</v>
      </c>
    </row>
    <row r="2787" spans="2:4" x14ac:dyDescent="0.25">
      <c r="B2787" s="61">
        <v>2754</v>
      </c>
      <c r="C2787" s="61">
        <v>111746.14795069705</v>
      </c>
      <c r="D2787" s="102">
        <v>0.15332021425093867</v>
      </c>
    </row>
    <row r="2788" spans="2:4" x14ac:dyDescent="0.25">
      <c r="B2788" s="61">
        <v>2755</v>
      </c>
      <c r="C2788" s="61">
        <v>343940.26844688877</v>
      </c>
      <c r="D2788" s="102">
        <v>0.34039855331518765</v>
      </c>
    </row>
    <row r="2789" spans="2:4" x14ac:dyDescent="0.25">
      <c r="B2789" s="61">
        <v>2756</v>
      </c>
      <c r="C2789" s="61">
        <v>47801.794834110653</v>
      </c>
      <c r="D2789" s="102">
        <v>0.10685108993096892</v>
      </c>
    </row>
    <row r="2790" spans="2:4" x14ac:dyDescent="0.25">
      <c r="B2790" s="61">
        <v>2757</v>
      </c>
      <c r="C2790" s="61">
        <v>367411.30532333965</v>
      </c>
      <c r="D2790" s="102">
        <v>0.40506916366839851</v>
      </c>
    </row>
    <row r="2791" spans="2:4" x14ac:dyDescent="0.25">
      <c r="B2791" s="61">
        <v>2758</v>
      </c>
      <c r="C2791" s="61">
        <v>514287.78336929844</v>
      </c>
      <c r="D2791" s="102">
        <v>0.40504307930599581</v>
      </c>
    </row>
    <row r="2792" spans="2:4" x14ac:dyDescent="0.25">
      <c r="B2792" s="61">
        <v>2759</v>
      </c>
      <c r="C2792" s="61">
        <v>449080.52483038139</v>
      </c>
      <c r="D2792" s="102">
        <v>0.37937984954118065</v>
      </c>
    </row>
    <row r="2793" spans="2:4" x14ac:dyDescent="0.25">
      <c r="B2793" s="61">
        <v>2760</v>
      </c>
      <c r="C2793" s="61">
        <v>203799.90435234248</v>
      </c>
      <c r="D2793" s="102">
        <v>0.2036848011090977</v>
      </c>
    </row>
    <row r="2794" spans="2:4" x14ac:dyDescent="0.25">
      <c r="B2794" s="61">
        <v>2761</v>
      </c>
      <c r="C2794" s="61">
        <v>536762.44551966328</v>
      </c>
      <c r="D2794" s="102">
        <v>0.48226438508580949</v>
      </c>
    </row>
    <row r="2795" spans="2:4" x14ac:dyDescent="0.25">
      <c r="B2795" s="61">
        <v>2762</v>
      </c>
      <c r="C2795" s="61">
        <v>47851.56309890165</v>
      </c>
      <c r="D2795" s="102">
        <v>0.10048677386919147</v>
      </c>
    </row>
    <row r="2796" spans="2:4" x14ac:dyDescent="0.25">
      <c r="B2796" s="61">
        <v>2763</v>
      </c>
      <c r="C2796" s="61">
        <v>377564.35239545035</v>
      </c>
      <c r="D2796" s="102">
        <v>0.33245039742021532</v>
      </c>
    </row>
    <row r="2797" spans="2:4" x14ac:dyDescent="0.25">
      <c r="B2797" s="61">
        <v>2764</v>
      </c>
      <c r="C2797" s="61">
        <v>354971.19627852354</v>
      </c>
      <c r="D2797" s="102">
        <v>0.31677995282718396</v>
      </c>
    </row>
    <row r="2798" spans="2:4" x14ac:dyDescent="0.25">
      <c r="B2798" s="61">
        <v>2765</v>
      </c>
      <c r="C2798" s="61">
        <v>349656.25074395386</v>
      </c>
      <c r="D2798" s="102">
        <v>0.28459090867082493</v>
      </c>
    </row>
    <row r="2799" spans="2:4" x14ac:dyDescent="0.25">
      <c r="B2799" s="61">
        <v>2766</v>
      </c>
      <c r="C2799" s="61">
        <v>340975.24285468948</v>
      </c>
      <c r="D2799" s="102">
        <v>0.34252628225738624</v>
      </c>
    </row>
    <row r="2800" spans="2:4" x14ac:dyDescent="0.25">
      <c r="B2800" s="61">
        <v>2767</v>
      </c>
      <c r="C2800" s="61">
        <v>259132.37749827234</v>
      </c>
      <c r="D2800" s="102">
        <v>0.23789441580183501</v>
      </c>
    </row>
    <row r="2801" spans="2:4" x14ac:dyDescent="0.25">
      <c r="B2801" s="61">
        <v>2768</v>
      </c>
      <c r="C2801" s="61">
        <v>455408.07958558819</v>
      </c>
      <c r="D2801" s="102">
        <v>0.35206567379267462</v>
      </c>
    </row>
    <row r="2802" spans="2:4" x14ac:dyDescent="0.25">
      <c r="B2802" s="61">
        <v>2769</v>
      </c>
      <c r="C2802" s="61">
        <v>285598.43349568872</v>
      </c>
      <c r="D2802" s="102">
        <v>0.28370433404245232</v>
      </c>
    </row>
    <row r="2803" spans="2:4" x14ac:dyDescent="0.25">
      <c r="B2803" s="61">
        <v>2770</v>
      </c>
      <c r="C2803" s="61">
        <v>223148.04128967086</v>
      </c>
      <c r="D2803" s="102">
        <v>0.26012264935085772</v>
      </c>
    </row>
    <row r="2804" spans="2:4" x14ac:dyDescent="0.25">
      <c r="B2804" s="61">
        <v>2771</v>
      </c>
      <c r="C2804" s="61">
        <v>325563.552323543</v>
      </c>
      <c r="D2804" s="102">
        <v>0.28702946374263938</v>
      </c>
    </row>
    <row r="2805" spans="2:4" x14ac:dyDescent="0.25">
      <c r="B2805" s="61">
        <v>2772</v>
      </c>
      <c r="C2805" s="61">
        <v>415166.41244972311</v>
      </c>
      <c r="D2805" s="102">
        <v>0.51481064873032056</v>
      </c>
    </row>
    <row r="2806" spans="2:4" x14ac:dyDescent="0.25">
      <c r="B2806" s="61">
        <v>2773</v>
      </c>
      <c r="C2806" s="61">
        <v>376373.19660771696</v>
      </c>
      <c r="D2806" s="102">
        <v>0.28950280105839532</v>
      </c>
    </row>
    <row r="2807" spans="2:4" x14ac:dyDescent="0.25">
      <c r="B2807" s="61">
        <v>2774</v>
      </c>
      <c r="C2807" s="61">
        <v>350529.155449813</v>
      </c>
      <c r="D2807" s="102">
        <v>0.32304528863227477</v>
      </c>
    </row>
    <row r="2808" spans="2:4" x14ac:dyDescent="0.25">
      <c r="B2808" s="61">
        <v>2775</v>
      </c>
      <c r="C2808" s="61">
        <v>601203.01260117011</v>
      </c>
      <c r="D2808" s="102">
        <v>0.57441906731788972</v>
      </c>
    </row>
    <row r="2809" spans="2:4" x14ac:dyDescent="0.25">
      <c r="B2809" s="61">
        <v>2776</v>
      </c>
      <c r="C2809" s="61">
        <v>218868.75481392024</v>
      </c>
      <c r="D2809" s="102">
        <v>0.211649227126955</v>
      </c>
    </row>
    <row r="2810" spans="2:4" x14ac:dyDescent="0.25">
      <c r="B2810" s="61">
        <v>2777</v>
      </c>
      <c r="C2810" s="61">
        <v>325627.15621465456</v>
      </c>
      <c r="D2810" s="102">
        <v>0.3115200174248216</v>
      </c>
    </row>
    <row r="2811" spans="2:4" x14ac:dyDescent="0.25">
      <c r="B2811" s="61">
        <v>2778</v>
      </c>
      <c r="C2811" s="61">
        <v>223670.70771908865</v>
      </c>
      <c r="D2811" s="102">
        <v>0.24905196566744014</v>
      </c>
    </row>
    <row r="2812" spans="2:4" x14ac:dyDescent="0.25">
      <c r="B2812" s="61">
        <v>2779</v>
      </c>
      <c r="C2812" s="61">
        <v>344141.29530273611</v>
      </c>
      <c r="D2812" s="102">
        <v>0.28177769775723793</v>
      </c>
    </row>
    <row r="2813" spans="2:4" x14ac:dyDescent="0.25">
      <c r="B2813" s="61">
        <v>2780</v>
      </c>
      <c r="C2813" s="61">
        <v>246940.76425854198</v>
      </c>
      <c r="D2813" s="102">
        <v>0.23657882976418843</v>
      </c>
    </row>
    <row r="2814" spans="2:4" x14ac:dyDescent="0.25">
      <c r="B2814" s="61">
        <v>2781</v>
      </c>
      <c r="C2814" s="61">
        <v>148528.55140857177</v>
      </c>
      <c r="D2814" s="102">
        <v>0.16964236995744586</v>
      </c>
    </row>
    <row r="2815" spans="2:4" x14ac:dyDescent="0.25">
      <c r="B2815" s="61">
        <v>2782</v>
      </c>
      <c r="C2815" s="61">
        <v>416737.97015589755</v>
      </c>
      <c r="D2815" s="102">
        <v>0.40033972708112286</v>
      </c>
    </row>
    <row r="2816" spans="2:4" x14ac:dyDescent="0.25">
      <c r="B2816" s="61">
        <v>2783</v>
      </c>
      <c r="C2816" s="61">
        <v>36095.193779108697</v>
      </c>
      <c r="D2816" s="102">
        <v>0.10019350646492198</v>
      </c>
    </row>
    <row r="2817" spans="2:4" x14ac:dyDescent="0.25">
      <c r="B2817" s="61">
        <v>2784</v>
      </c>
      <c r="C2817" s="61">
        <v>420491.97957672167</v>
      </c>
      <c r="D2817" s="102">
        <v>0.40914320910045388</v>
      </c>
    </row>
    <row r="2818" spans="2:4" x14ac:dyDescent="0.25">
      <c r="B2818" s="61">
        <v>2785</v>
      </c>
      <c r="C2818" s="61">
        <v>365767.64403783449</v>
      </c>
      <c r="D2818" s="102">
        <v>0.26764921656068918</v>
      </c>
    </row>
    <row r="2819" spans="2:4" x14ac:dyDescent="0.25">
      <c r="B2819" s="61">
        <v>2786</v>
      </c>
      <c r="C2819" s="61">
        <v>343166.86199283844</v>
      </c>
      <c r="D2819" s="102">
        <v>0.28747424745075767</v>
      </c>
    </row>
    <row r="2820" spans="2:4" x14ac:dyDescent="0.25">
      <c r="B2820" s="61">
        <v>2787</v>
      </c>
      <c r="C2820" s="61">
        <v>260304.69949358457</v>
      </c>
      <c r="D2820" s="102">
        <v>0.28762236492780091</v>
      </c>
    </row>
    <row r="2821" spans="2:4" x14ac:dyDescent="0.25">
      <c r="B2821" s="61">
        <v>2788</v>
      </c>
      <c r="C2821" s="61">
        <v>205533.32554184925</v>
      </c>
      <c r="D2821" s="102">
        <v>0.19584116504671956</v>
      </c>
    </row>
    <row r="2822" spans="2:4" x14ac:dyDescent="0.25">
      <c r="B2822" s="61">
        <v>2789</v>
      </c>
      <c r="C2822" s="61">
        <v>390603.22321900469</v>
      </c>
      <c r="D2822" s="102">
        <v>0.36256297317634067</v>
      </c>
    </row>
    <row r="2823" spans="2:4" x14ac:dyDescent="0.25">
      <c r="B2823" s="61">
        <v>2790</v>
      </c>
      <c r="C2823" s="61">
        <v>187562.60241658532</v>
      </c>
      <c r="D2823" s="102">
        <v>0.20879085169346601</v>
      </c>
    </row>
    <row r="2824" spans="2:4" x14ac:dyDescent="0.25">
      <c r="B2824" s="61">
        <v>2791</v>
      </c>
      <c r="C2824" s="61">
        <v>280455.87380566879</v>
      </c>
      <c r="D2824" s="102">
        <v>0.30866251231573316</v>
      </c>
    </row>
    <row r="2825" spans="2:4" x14ac:dyDescent="0.25">
      <c r="B2825" s="61">
        <v>2792</v>
      </c>
      <c r="C2825" s="61">
        <v>241143.77929379011</v>
      </c>
      <c r="D2825" s="102">
        <v>0.26427022339710993</v>
      </c>
    </row>
    <row r="2826" spans="2:4" x14ac:dyDescent="0.25">
      <c r="B2826" s="61">
        <v>2793</v>
      </c>
      <c r="C2826" s="61">
        <v>268033.1286630875</v>
      </c>
      <c r="D2826" s="102">
        <v>0.30975620824822037</v>
      </c>
    </row>
    <row r="2827" spans="2:4" x14ac:dyDescent="0.25">
      <c r="B2827" s="61">
        <v>2794</v>
      </c>
      <c r="C2827" s="61">
        <v>311048.07485622761</v>
      </c>
      <c r="D2827" s="102">
        <v>0.35452807250590879</v>
      </c>
    </row>
    <row r="2828" spans="2:4" x14ac:dyDescent="0.25">
      <c r="B2828" s="61">
        <v>2795</v>
      </c>
      <c r="C2828" s="61">
        <v>401162.18027504301</v>
      </c>
      <c r="D2828" s="102">
        <v>0.37594686763889706</v>
      </c>
    </row>
    <row r="2829" spans="2:4" x14ac:dyDescent="0.25">
      <c r="B2829" s="61">
        <v>2796</v>
      </c>
      <c r="C2829" s="61">
        <v>274682.10221746028</v>
      </c>
      <c r="D2829" s="102">
        <v>0.25803457040060618</v>
      </c>
    </row>
    <row r="2830" spans="2:4" x14ac:dyDescent="0.25">
      <c r="B2830" s="61">
        <v>2797</v>
      </c>
      <c r="C2830" s="61">
        <v>419806.82949220331</v>
      </c>
      <c r="D2830" s="102">
        <v>0.36251838199028774</v>
      </c>
    </row>
    <row r="2831" spans="2:4" x14ac:dyDescent="0.25">
      <c r="B2831" s="61">
        <v>2798</v>
      </c>
      <c r="C2831" s="61">
        <v>326395.96900348319</v>
      </c>
      <c r="D2831" s="102">
        <v>0.29830935304711925</v>
      </c>
    </row>
    <row r="2832" spans="2:4" x14ac:dyDescent="0.25">
      <c r="B2832" s="61">
        <v>2799</v>
      </c>
      <c r="C2832" s="61">
        <v>93304.166693079052</v>
      </c>
      <c r="D2832" s="102">
        <v>0.1426922641332169</v>
      </c>
    </row>
    <row r="2833" spans="2:4" x14ac:dyDescent="0.25">
      <c r="B2833" s="61">
        <v>2800</v>
      </c>
      <c r="C2833" s="61">
        <v>259730.63065034221</v>
      </c>
      <c r="D2833" s="102">
        <v>0.23348205126356913</v>
      </c>
    </row>
    <row r="2834" spans="2:4" x14ac:dyDescent="0.25">
      <c r="B2834" s="61">
        <v>2801</v>
      </c>
      <c r="C2834" s="61">
        <v>259727.71886036161</v>
      </c>
      <c r="D2834" s="102">
        <v>0.2854547125144995</v>
      </c>
    </row>
    <row r="2835" spans="2:4" x14ac:dyDescent="0.25">
      <c r="B2835" s="61">
        <v>2802</v>
      </c>
      <c r="C2835" s="61">
        <v>230661.05934787332</v>
      </c>
      <c r="D2835" s="102">
        <v>0.22377181723319928</v>
      </c>
    </row>
    <row r="2836" spans="2:4" x14ac:dyDescent="0.25">
      <c r="B2836" s="61">
        <v>2803</v>
      </c>
      <c r="C2836" s="61">
        <v>230467.74745323823</v>
      </c>
      <c r="D2836" s="102">
        <v>0.22326761675679752</v>
      </c>
    </row>
    <row r="2837" spans="2:4" x14ac:dyDescent="0.25">
      <c r="B2837" s="61">
        <v>2804</v>
      </c>
      <c r="C2837" s="61">
        <v>240545.56644733378</v>
      </c>
      <c r="D2837" s="102">
        <v>0.23887175926713278</v>
      </c>
    </row>
    <row r="2838" spans="2:4" x14ac:dyDescent="0.25">
      <c r="B2838" s="61">
        <v>2805</v>
      </c>
      <c r="C2838" s="61">
        <v>84981.382511017902</v>
      </c>
      <c r="D2838" s="102">
        <v>0.12193177372893316</v>
      </c>
    </row>
    <row r="2839" spans="2:4" x14ac:dyDescent="0.25">
      <c r="B2839" s="61">
        <v>2806</v>
      </c>
      <c r="C2839" s="61">
        <v>317263.56246989418</v>
      </c>
      <c r="D2839" s="102">
        <v>0.31765710021523907</v>
      </c>
    </row>
    <row r="2840" spans="2:4" x14ac:dyDescent="0.25">
      <c r="B2840" s="61">
        <v>2807</v>
      </c>
      <c r="C2840" s="61">
        <v>184250.05001105915</v>
      </c>
      <c r="D2840" s="102">
        <v>0.19425731101260335</v>
      </c>
    </row>
    <row r="2841" spans="2:4" x14ac:dyDescent="0.25">
      <c r="B2841" s="61">
        <v>2808</v>
      </c>
      <c r="C2841" s="61">
        <v>176794.75435276143</v>
      </c>
      <c r="D2841" s="102">
        <v>0.17588679181657874</v>
      </c>
    </row>
    <row r="2842" spans="2:4" x14ac:dyDescent="0.25">
      <c r="B2842" s="61">
        <v>2809</v>
      </c>
      <c r="C2842" s="61">
        <v>181977.172425978</v>
      </c>
      <c r="D2842" s="102">
        <v>0.21257847221235515</v>
      </c>
    </row>
    <row r="2843" spans="2:4" x14ac:dyDescent="0.25">
      <c r="B2843" s="61">
        <v>2810</v>
      </c>
      <c r="C2843" s="61">
        <v>140481.91317564814</v>
      </c>
      <c r="D2843" s="102">
        <v>0.1591072569657348</v>
      </c>
    </row>
    <row r="2844" spans="2:4" x14ac:dyDescent="0.25">
      <c r="B2844" s="61">
        <v>2811</v>
      </c>
      <c r="C2844" s="61">
        <v>94349.507812373806</v>
      </c>
      <c r="D2844" s="102">
        <v>0.13414539710815854</v>
      </c>
    </row>
    <row r="2845" spans="2:4" x14ac:dyDescent="0.25">
      <c r="B2845" s="61">
        <v>2812</v>
      </c>
      <c r="C2845" s="61">
        <v>234134.24875627633</v>
      </c>
      <c r="D2845" s="102">
        <v>0.24691149974813653</v>
      </c>
    </row>
    <row r="2846" spans="2:4" x14ac:dyDescent="0.25">
      <c r="B2846" s="61">
        <v>2813</v>
      </c>
      <c r="C2846" s="61">
        <v>318070.94647778478</v>
      </c>
      <c r="D2846" s="102">
        <v>0.31461759322358196</v>
      </c>
    </row>
    <row r="2847" spans="2:4" x14ac:dyDescent="0.25">
      <c r="B2847" s="61">
        <v>2814</v>
      </c>
      <c r="C2847" s="61">
        <v>287076.21329619118</v>
      </c>
      <c r="D2847" s="102">
        <v>0.26925648533463131</v>
      </c>
    </row>
    <row r="2848" spans="2:4" x14ac:dyDescent="0.25">
      <c r="B2848" s="61">
        <v>2815</v>
      </c>
      <c r="C2848" s="61">
        <v>267848.8786414155</v>
      </c>
      <c r="D2848" s="102">
        <v>0.26664773479967718</v>
      </c>
    </row>
    <row r="2849" spans="2:4" x14ac:dyDescent="0.25">
      <c r="B2849" s="61">
        <v>2816</v>
      </c>
      <c r="C2849" s="61">
        <v>387860.54231609113</v>
      </c>
      <c r="D2849" s="102">
        <v>0.30413092028787392</v>
      </c>
    </row>
    <row r="2850" spans="2:4" x14ac:dyDescent="0.25">
      <c r="B2850" s="61">
        <v>2817</v>
      </c>
      <c r="C2850" s="61">
        <v>376841.11672139878</v>
      </c>
      <c r="D2850" s="102">
        <v>0.33236099388950979</v>
      </c>
    </row>
    <row r="2851" spans="2:4" x14ac:dyDescent="0.25">
      <c r="B2851" s="61">
        <v>2818</v>
      </c>
      <c r="C2851" s="61">
        <v>348995.23121381493</v>
      </c>
      <c r="D2851" s="102">
        <v>0.33585335375050995</v>
      </c>
    </row>
    <row r="2852" spans="2:4" x14ac:dyDescent="0.25">
      <c r="B2852" s="61">
        <v>2819</v>
      </c>
      <c r="C2852" s="61">
        <v>318429.99170927424</v>
      </c>
      <c r="D2852" s="102">
        <v>0.35327088412813934</v>
      </c>
    </row>
    <row r="2853" spans="2:4" x14ac:dyDescent="0.25">
      <c r="B2853" s="61">
        <v>2820</v>
      </c>
      <c r="C2853" s="61">
        <v>347568.07186267595</v>
      </c>
      <c r="D2853" s="102">
        <v>0.35098287030585973</v>
      </c>
    </row>
    <row r="2854" spans="2:4" x14ac:dyDescent="0.25">
      <c r="B2854" s="61">
        <v>2821</v>
      </c>
      <c r="C2854" s="61">
        <v>197697.21472924936</v>
      </c>
      <c r="D2854" s="102">
        <v>0.24706086383945758</v>
      </c>
    </row>
    <row r="2855" spans="2:4" x14ac:dyDescent="0.25">
      <c r="B2855" s="61">
        <v>2822</v>
      </c>
      <c r="C2855" s="61">
        <v>88247.826866701595</v>
      </c>
      <c r="D2855" s="102">
        <v>0.13360103039842675</v>
      </c>
    </row>
    <row r="2856" spans="2:4" x14ac:dyDescent="0.25">
      <c r="B2856" s="61">
        <v>2823</v>
      </c>
      <c r="C2856" s="61">
        <v>91775.800545345002</v>
      </c>
      <c r="D2856" s="102">
        <v>0.14097385689807784</v>
      </c>
    </row>
    <row r="2857" spans="2:4" x14ac:dyDescent="0.25">
      <c r="B2857" s="61">
        <v>2824</v>
      </c>
      <c r="C2857" s="61">
        <v>369206.89771695633</v>
      </c>
      <c r="D2857" s="102">
        <v>0.33447458370917871</v>
      </c>
    </row>
    <row r="2858" spans="2:4" x14ac:dyDescent="0.25">
      <c r="B2858" s="61">
        <v>2825</v>
      </c>
      <c r="C2858" s="61">
        <v>399428.19860726059</v>
      </c>
      <c r="D2858" s="102">
        <v>0.36682440508530245</v>
      </c>
    </row>
    <row r="2859" spans="2:4" x14ac:dyDescent="0.25">
      <c r="B2859" s="61">
        <v>2826</v>
      </c>
      <c r="C2859" s="61">
        <v>362426.43156468659</v>
      </c>
      <c r="D2859" s="102">
        <v>0.30816551473274933</v>
      </c>
    </row>
    <row r="2860" spans="2:4" x14ac:dyDescent="0.25">
      <c r="B2860" s="61">
        <v>2827</v>
      </c>
      <c r="C2860" s="61">
        <v>295610.92681791936</v>
      </c>
      <c r="D2860" s="102">
        <v>0.37305318873568161</v>
      </c>
    </row>
    <row r="2861" spans="2:4" x14ac:dyDescent="0.25">
      <c r="B2861" s="61">
        <v>2828</v>
      </c>
      <c r="C2861" s="61">
        <v>336009.91125323693</v>
      </c>
      <c r="D2861" s="102">
        <v>0.30067768985526055</v>
      </c>
    </row>
    <row r="2862" spans="2:4" x14ac:dyDescent="0.25">
      <c r="B2862" s="61">
        <v>2829</v>
      </c>
      <c r="C2862" s="61">
        <v>409142.52061825281</v>
      </c>
      <c r="D2862" s="102">
        <v>0.35082911373960024</v>
      </c>
    </row>
    <row r="2863" spans="2:4" x14ac:dyDescent="0.25">
      <c r="B2863" s="61">
        <v>2830</v>
      </c>
      <c r="C2863" s="61">
        <v>209899.70959784091</v>
      </c>
      <c r="D2863" s="102">
        <v>0.19680176038746655</v>
      </c>
    </row>
    <row r="2864" spans="2:4" x14ac:dyDescent="0.25">
      <c r="B2864" s="61">
        <v>2831</v>
      </c>
      <c r="C2864" s="61">
        <v>417195.99701108609</v>
      </c>
      <c r="D2864" s="102">
        <v>0.39630143200562218</v>
      </c>
    </row>
    <row r="2865" spans="2:4" x14ac:dyDescent="0.25">
      <c r="B2865" s="61">
        <v>2832</v>
      </c>
      <c r="C2865" s="61">
        <v>181839.5495548792</v>
      </c>
      <c r="D2865" s="102">
        <v>0.20492449762734499</v>
      </c>
    </row>
    <row r="2866" spans="2:4" x14ac:dyDescent="0.25">
      <c r="B2866" s="61">
        <v>2833</v>
      </c>
      <c r="C2866" s="61">
        <v>372033.86471347709</v>
      </c>
      <c r="D2866" s="102">
        <v>0.34200798562936296</v>
      </c>
    </row>
    <row r="2867" spans="2:4" x14ac:dyDescent="0.25">
      <c r="B2867" s="61">
        <v>2834</v>
      </c>
      <c r="C2867" s="61">
        <v>104066.30285912403</v>
      </c>
      <c r="D2867" s="102">
        <v>0.15085677456679303</v>
      </c>
    </row>
    <row r="2868" spans="2:4" x14ac:dyDescent="0.25">
      <c r="B2868" s="61">
        <v>2835</v>
      </c>
      <c r="C2868" s="61">
        <v>118816.67401636124</v>
      </c>
      <c r="D2868" s="102">
        <v>0.16037896443294142</v>
      </c>
    </row>
    <row r="2869" spans="2:4" x14ac:dyDescent="0.25">
      <c r="B2869" s="61">
        <v>2836</v>
      </c>
      <c r="C2869" s="61">
        <v>306134.75878594932</v>
      </c>
      <c r="D2869" s="102">
        <v>0.29291891981232876</v>
      </c>
    </row>
    <row r="2870" spans="2:4" x14ac:dyDescent="0.25">
      <c r="B2870" s="61">
        <v>2837</v>
      </c>
      <c r="C2870" s="61">
        <v>444456.3441203651</v>
      </c>
      <c r="D2870" s="102">
        <v>0.34561193424926939</v>
      </c>
    </row>
    <row r="2871" spans="2:4" x14ac:dyDescent="0.25">
      <c r="B2871" s="61">
        <v>2838</v>
      </c>
      <c r="C2871" s="61">
        <v>202325.65628530364</v>
      </c>
      <c r="D2871" s="102">
        <v>0.24798213588899509</v>
      </c>
    </row>
    <row r="2872" spans="2:4" x14ac:dyDescent="0.25">
      <c r="B2872" s="61">
        <v>2839</v>
      </c>
      <c r="C2872" s="61">
        <v>338729.23597490741</v>
      </c>
      <c r="D2872" s="102">
        <v>0.39906800409657528</v>
      </c>
    </row>
    <row r="2873" spans="2:4" x14ac:dyDescent="0.25">
      <c r="B2873" s="61">
        <v>2840</v>
      </c>
      <c r="C2873" s="61">
        <v>169889.99842200777</v>
      </c>
      <c r="D2873" s="102">
        <v>0.21384807397083883</v>
      </c>
    </row>
    <row r="2874" spans="2:4" x14ac:dyDescent="0.25">
      <c r="B2874" s="61">
        <v>2841</v>
      </c>
      <c r="C2874" s="61">
        <v>170949.23160237144</v>
      </c>
      <c r="D2874" s="102">
        <v>0.18637857927345225</v>
      </c>
    </row>
    <row r="2875" spans="2:4" x14ac:dyDescent="0.25">
      <c r="B2875" s="61">
        <v>2842</v>
      </c>
      <c r="C2875" s="61">
        <v>207099.76770558127</v>
      </c>
      <c r="D2875" s="102">
        <v>0.20833660292519607</v>
      </c>
    </row>
    <row r="2876" spans="2:4" x14ac:dyDescent="0.25">
      <c r="B2876" s="61">
        <v>2843</v>
      </c>
      <c r="C2876" s="61">
        <v>254770.28239911015</v>
      </c>
      <c r="D2876" s="102">
        <v>0.26223462272631815</v>
      </c>
    </row>
    <row r="2877" spans="2:4" x14ac:dyDescent="0.25">
      <c r="B2877" s="61">
        <v>2844</v>
      </c>
      <c r="C2877" s="61">
        <v>182270.75627066835</v>
      </c>
      <c r="D2877" s="102">
        <v>0.19463750075468722</v>
      </c>
    </row>
    <row r="2878" spans="2:4" x14ac:dyDescent="0.25">
      <c r="B2878" s="61">
        <v>2845</v>
      </c>
      <c r="C2878" s="61">
        <v>343449.44346718688</v>
      </c>
      <c r="D2878" s="102">
        <v>0.3205664385751974</v>
      </c>
    </row>
    <row r="2879" spans="2:4" x14ac:dyDescent="0.25">
      <c r="B2879" s="61">
        <v>2846</v>
      </c>
      <c r="C2879" s="61">
        <v>133830.56888856826</v>
      </c>
      <c r="D2879" s="102">
        <v>0.16395560305742896</v>
      </c>
    </row>
    <row r="2880" spans="2:4" x14ac:dyDescent="0.25">
      <c r="B2880" s="61">
        <v>2847</v>
      </c>
      <c r="C2880" s="61">
        <v>197330.88871586951</v>
      </c>
      <c r="D2880" s="102">
        <v>0.20914999001184431</v>
      </c>
    </row>
    <row r="2881" spans="2:4" x14ac:dyDescent="0.25">
      <c r="B2881" s="61">
        <v>2848</v>
      </c>
      <c r="C2881" s="61">
        <v>284926.84877613711</v>
      </c>
      <c r="D2881" s="102">
        <v>0.32305980317254845</v>
      </c>
    </row>
    <row r="2882" spans="2:4" x14ac:dyDescent="0.25">
      <c r="B2882" s="61">
        <v>2849</v>
      </c>
      <c r="C2882" s="61">
        <v>221298.71938809683</v>
      </c>
      <c r="D2882" s="102">
        <v>0.23471354163242109</v>
      </c>
    </row>
    <row r="2883" spans="2:4" x14ac:dyDescent="0.25">
      <c r="B2883" s="61">
        <v>2850</v>
      </c>
      <c r="C2883" s="61">
        <v>328530.57145899127</v>
      </c>
      <c r="D2883" s="102">
        <v>0.3188587546859738</v>
      </c>
    </row>
    <row r="2884" spans="2:4" x14ac:dyDescent="0.25">
      <c r="B2884" s="61">
        <v>2851</v>
      </c>
      <c r="C2884" s="61">
        <v>232662.14751672128</v>
      </c>
      <c r="D2884" s="102">
        <v>0.23885569142124363</v>
      </c>
    </row>
    <row r="2885" spans="2:4" x14ac:dyDescent="0.25">
      <c r="B2885" s="61">
        <v>2852</v>
      </c>
      <c r="C2885" s="61">
        <v>257435.36876496079</v>
      </c>
      <c r="D2885" s="102">
        <v>0.30459865177638989</v>
      </c>
    </row>
    <row r="2886" spans="2:4" x14ac:dyDescent="0.25">
      <c r="B2886" s="61">
        <v>2853</v>
      </c>
      <c r="C2886" s="61">
        <v>230269.67817664705</v>
      </c>
      <c r="D2886" s="102">
        <v>0.24594738992396947</v>
      </c>
    </row>
    <row r="2887" spans="2:4" x14ac:dyDescent="0.25">
      <c r="B2887" s="61">
        <v>2854</v>
      </c>
      <c r="C2887" s="61">
        <v>62697.429274230148</v>
      </c>
      <c r="D2887" s="102">
        <v>0.12729659966390683</v>
      </c>
    </row>
    <row r="2888" spans="2:4" x14ac:dyDescent="0.25">
      <c r="B2888" s="61">
        <v>2855</v>
      </c>
      <c r="C2888" s="61">
        <v>375589.22966223548</v>
      </c>
      <c r="D2888" s="102">
        <v>0.36203144369127105</v>
      </c>
    </row>
    <row r="2889" spans="2:4" x14ac:dyDescent="0.25">
      <c r="B2889" s="61">
        <v>2856</v>
      </c>
      <c r="C2889" s="61">
        <v>145541.0351841317</v>
      </c>
      <c r="D2889" s="102">
        <v>0.16366912424118274</v>
      </c>
    </row>
    <row r="2890" spans="2:4" x14ac:dyDescent="0.25">
      <c r="B2890" s="61">
        <v>2857</v>
      </c>
      <c r="C2890" s="61">
        <v>72089.861922378535</v>
      </c>
      <c r="D2890" s="102">
        <v>0.15381369374388343</v>
      </c>
    </row>
    <row r="2891" spans="2:4" x14ac:dyDescent="0.25">
      <c r="B2891" s="61">
        <v>2858</v>
      </c>
      <c r="C2891" s="61">
        <v>131006.56729482487</v>
      </c>
      <c r="D2891" s="102">
        <v>0.17286294625842258</v>
      </c>
    </row>
    <row r="2892" spans="2:4" x14ac:dyDescent="0.25">
      <c r="B2892" s="61">
        <v>2859</v>
      </c>
      <c r="C2892" s="61">
        <v>291290.9347139718</v>
      </c>
      <c r="D2892" s="102">
        <v>0.28710187247578034</v>
      </c>
    </row>
    <row r="2893" spans="2:4" x14ac:dyDescent="0.25">
      <c r="B2893" s="61">
        <v>2860</v>
      </c>
      <c r="C2893" s="61">
        <v>332687.96026117168</v>
      </c>
      <c r="D2893" s="102">
        <v>0.32116912229716621</v>
      </c>
    </row>
    <row r="2894" spans="2:4" x14ac:dyDescent="0.25">
      <c r="B2894" s="61">
        <v>2861</v>
      </c>
      <c r="C2894" s="61">
        <v>348334.53339116403</v>
      </c>
      <c r="D2894" s="102">
        <v>0.39521225220121114</v>
      </c>
    </row>
    <row r="2895" spans="2:4" x14ac:dyDescent="0.25">
      <c r="B2895" s="61">
        <v>2862</v>
      </c>
      <c r="C2895" s="61">
        <v>120774.60902992758</v>
      </c>
      <c r="D2895" s="102">
        <v>0.15135589982048181</v>
      </c>
    </row>
    <row r="2896" spans="2:4" x14ac:dyDescent="0.25">
      <c r="B2896" s="61">
        <v>2863</v>
      </c>
      <c r="C2896" s="61">
        <v>71160.395872020978</v>
      </c>
      <c r="D2896" s="102">
        <v>0.12333082662298622</v>
      </c>
    </row>
    <row r="2897" spans="2:4" x14ac:dyDescent="0.25">
      <c r="B2897" s="61">
        <v>2864</v>
      </c>
      <c r="C2897" s="61">
        <v>61653.334040766524</v>
      </c>
      <c r="D2897" s="102">
        <v>0.10576178619818366</v>
      </c>
    </row>
    <row r="2898" spans="2:4" x14ac:dyDescent="0.25">
      <c r="B2898" s="61">
        <v>2865</v>
      </c>
      <c r="C2898" s="61">
        <v>301483.55292059435</v>
      </c>
      <c r="D2898" s="102">
        <v>0.26875456558917632</v>
      </c>
    </row>
    <row r="2899" spans="2:4" x14ac:dyDescent="0.25">
      <c r="B2899" s="61">
        <v>2866</v>
      </c>
      <c r="C2899" s="61">
        <v>83570.137702118314</v>
      </c>
      <c r="D2899" s="102">
        <v>0.12612880874448895</v>
      </c>
    </row>
    <row r="2900" spans="2:4" x14ac:dyDescent="0.25">
      <c r="B2900" s="61">
        <v>2867</v>
      </c>
      <c r="C2900" s="61">
        <v>311901.07139206049</v>
      </c>
      <c r="D2900" s="102">
        <v>0.3077202819637832</v>
      </c>
    </row>
    <row r="2901" spans="2:4" x14ac:dyDescent="0.25">
      <c r="B2901" s="61">
        <v>2868</v>
      </c>
      <c r="C2901" s="61">
        <v>270822.32476734812</v>
      </c>
      <c r="D2901" s="102">
        <v>0.27226371042822461</v>
      </c>
    </row>
    <row r="2902" spans="2:4" x14ac:dyDescent="0.25">
      <c r="B2902" s="61">
        <v>2869</v>
      </c>
      <c r="C2902" s="61">
        <v>213065.1909051215</v>
      </c>
      <c r="D2902" s="102">
        <v>0.20307087251295952</v>
      </c>
    </row>
    <row r="2903" spans="2:4" x14ac:dyDescent="0.25">
      <c r="B2903" s="61">
        <v>2870</v>
      </c>
      <c r="C2903" s="61">
        <v>429846.10027412698</v>
      </c>
      <c r="D2903" s="102">
        <v>0.35494629314837134</v>
      </c>
    </row>
    <row r="2904" spans="2:4" x14ac:dyDescent="0.25">
      <c r="B2904" s="61">
        <v>2871</v>
      </c>
      <c r="C2904" s="61">
        <v>424521.80544377654</v>
      </c>
      <c r="D2904" s="102">
        <v>0.41861233161750944</v>
      </c>
    </row>
    <row r="2905" spans="2:4" x14ac:dyDescent="0.25">
      <c r="B2905" s="61">
        <v>2872</v>
      </c>
      <c r="C2905" s="61">
        <v>238535.43333859113</v>
      </c>
      <c r="D2905" s="102">
        <v>0.2368748426065288</v>
      </c>
    </row>
    <row r="2906" spans="2:4" x14ac:dyDescent="0.25">
      <c r="B2906" s="61">
        <v>2873</v>
      </c>
      <c r="C2906" s="61">
        <v>109092.37324488163</v>
      </c>
      <c r="D2906" s="102">
        <v>0.15028001379975819</v>
      </c>
    </row>
    <row r="2907" spans="2:4" x14ac:dyDescent="0.25">
      <c r="B2907" s="61">
        <v>2874</v>
      </c>
      <c r="C2907" s="61">
        <v>221501.32918159058</v>
      </c>
      <c r="D2907" s="102">
        <v>0.24585263597259166</v>
      </c>
    </row>
    <row r="2908" spans="2:4" x14ac:dyDescent="0.25">
      <c r="B2908" s="61">
        <v>2875</v>
      </c>
      <c r="C2908" s="61">
        <v>331851.66459699755</v>
      </c>
      <c r="D2908" s="102">
        <v>0.32239845691016256</v>
      </c>
    </row>
    <row r="2909" spans="2:4" x14ac:dyDescent="0.25">
      <c r="B2909" s="61">
        <v>2876</v>
      </c>
      <c r="C2909" s="61">
        <v>290420.99390742183</v>
      </c>
      <c r="D2909" s="102">
        <v>0.27385572873915853</v>
      </c>
    </row>
    <row r="2910" spans="2:4" x14ac:dyDescent="0.25">
      <c r="B2910" s="61">
        <v>2877</v>
      </c>
      <c r="C2910" s="61">
        <v>198486.01793694799</v>
      </c>
      <c r="D2910" s="102">
        <v>0.2304265629874791</v>
      </c>
    </row>
    <row r="2911" spans="2:4" x14ac:dyDescent="0.25">
      <c r="B2911" s="61">
        <v>2878</v>
      </c>
      <c r="C2911" s="61">
        <v>320758.56886415917</v>
      </c>
      <c r="D2911" s="102">
        <v>0.33121933442039331</v>
      </c>
    </row>
    <row r="2912" spans="2:4" x14ac:dyDescent="0.25">
      <c r="B2912" s="61">
        <v>2879</v>
      </c>
      <c r="C2912" s="61">
        <v>353502.37432798068</v>
      </c>
      <c r="D2912" s="102">
        <v>0.35660291626556462</v>
      </c>
    </row>
    <row r="2913" spans="2:4" x14ac:dyDescent="0.25">
      <c r="B2913" s="61">
        <v>2880</v>
      </c>
      <c r="C2913" s="61">
        <v>246323.76039017772</v>
      </c>
      <c r="D2913" s="102">
        <v>0.2739712599961206</v>
      </c>
    </row>
    <row r="2914" spans="2:4" x14ac:dyDescent="0.25">
      <c r="B2914" s="61">
        <v>2881</v>
      </c>
      <c r="C2914" s="61">
        <v>-8621.6888905073283</v>
      </c>
      <c r="D2914" s="102">
        <v>5.5235156471654001E-2</v>
      </c>
    </row>
    <row r="2915" spans="2:4" x14ac:dyDescent="0.25">
      <c r="B2915" s="61">
        <v>2882</v>
      </c>
      <c r="C2915" s="61">
        <v>307059.18720497785</v>
      </c>
      <c r="D2915" s="102">
        <v>0.24828234190269671</v>
      </c>
    </row>
    <row r="2916" spans="2:4" x14ac:dyDescent="0.25">
      <c r="B2916" s="61">
        <v>2883</v>
      </c>
      <c r="C2916" s="61">
        <v>340269.98352467094</v>
      </c>
      <c r="D2916" s="102">
        <v>0.28058707562486074</v>
      </c>
    </row>
    <row r="2917" spans="2:4" x14ac:dyDescent="0.25">
      <c r="B2917" s="61">
        <v>2884</v>
      </c>
      <c r="C2917" s="61">
        <v>258290.07523929502</v>
      </c>
      <c r="D2917" s="102">
        <v>0.26520815415941712</v>
      </c>
    </row>
    <row r="2918" spans="2:4" x14ac:dyDescent="0.25">
      <c r="B2918" s="61">
        <v>2885</v>
      </c>
      <c r="C2918" s="61">
        <v>-4843.7530595511198</v>
      </c>
      <c r="D2918" s="102">
        <v>5.7354746394760125E-2</v>
      </c>
    </row>
    <row r="2919" spans="2:4" x14ac:dyDescent="0.25">
      <c r="B2919" s="61">
        <v>2886</v>
      </c>
      <c r="C2919" s="61">
        <v>238955.35999323311</v>
      </c>
      <c r="D2919" s="102">
        <v>0.26634917404845182</v>
      </c>
    </row>
    <row r="2920" spans="2:4" x14ac:dyDescent="0.25">
      <c r="B2920" s="61">
        <v>2887</v>
      </c>
      <c r="C2920" s="61">
        <v>325243.19066624693</v>
      </c>
      <c r="D2920" s="102">
        <v>0.30622964944639519</v>
      </c>
    </row>
    <row r="2921" spans="2:4" x14ac:dyDescent="0.25">
      <c r="B2921" s="61">
        <v>2888</v>
      </c>
      <c r="C2921" s="61">
        <v>158518.51866179163</v>
      </c>
      <c r="D2921" s="102">
        <v>0.18840909352871571</v>
      </c>
    </row>
    <row r="2922" spans="2:4" x14ac:dyDescent="0.25">
      <c r="B2922" s="61">
        <v>2889</v>
      </c>
      <c r="C2922" s="61">
        <v>216357.91637265333</v>
      </c>
      <c r="D2922" s="102">
        <v>0.23419885794781292</v>
      </c>
    </row>
    <row r="2923" spans="2:4" x14ac:dyDescent="0.25">
      <c r="B2923" s="61">
        <v>2890</v>
      </c>
      <c r="C2923" s="61">
        <v>279042.97820657364</v>
      </c>
      <c r="D2923" s="102">
        <v>0.26328569547119884</v>
      </c>
    </row>
    <row r="2924" spans="2:4" x14ac:dyDescent="0.25">
      <c r="B2924" s="61">
        <v>2891</v>
      </c>
      <c r="C2924" s="61">
        <v>-64942.683196841215</v>
      </c>
      <c r="D2924" s="102">
        <v>-2.2230742577189488E-3</v>
      </c>
    </row>
    <row r="2925" spans="2:4" x14ac:dyDescent="0.25">
      <c r="B2925" s="61">
        <v>2892</v>
      </c>
      <c r="C2925" s="61">
        <v>-210393.25272458221</v>
      </c>
      <c r="D2925" s="102">
        <v>-0.29505346684466938</v>
      </c>
    </row>
    <row r="2926" spans="2:4" x14ac:dyDescent="0.25">
      <c r="B2926" s="61">
        <v>2893</v>
      </c>
      <c r="C2926" s="61">
        <v>433777.86537280632</v>
      </c>
      <c r="D2926" s="102">
        <v>0.39403951590185127</v>
      </c>
    </row>
    <row r="2927" spans="2:4" x14ac:dyDescent="0.25">
      <c r="B2927" s="61">
        <v>2894</v>
      </c>
      <c r="C2927" s="61">
        <v>179789.70934481942</v>
      </c>
      <c r="D2927" s="102">
        <v>0.19668778153856881</v>
      </c>
    </row>
    <row r="2928" spans="2:4" x14ac:dyDescent="0.25">
      <c r="B2928" s="61">
        <v>2895</v>
      </c>
      <c r="C2928" s="61">
        <v>243351.96818354458</v>
      </c>
      <c r="D2928" s="102">
        <v>0.25575874838739954</v>
      </c>
    </row>
    <row r="2929" spans="2:4" x14ac:dyDescent="0.25">
      <c r="B2929" s="61">
        <v>2896</v>
      </c>
      <c r="C2929" s="61">
        <v>474926.71990827157</v>
      </c>
      <c r="D2929" s="102">
        <v>0.43834787824719901</v>
      </c>
    </row>
    <row r="2930" spans="2:4" x14ac:dyDescent="0.25">
      <c r="B2930" s="61">
        <v>2897</v>
      </c>
      <c r="C2930" s="61">
        <v>294935.24793756183</v>
      </c>
      <c r="D2930" s="102">
        <v>0.28069923695927979</v>
      </c>
    </row>
    <row r="2931" spans="2:4" x14ac:dyDescent="0.25">
      <c r="B2931" s="61">
        <v>2898</v>
      </c>
      <c r="C2931" s="61">
        <v>283454.75559837616</v>
      </c>
      <c r="D2931" s="102">
        <v>0.26026027775020477</v>
      </c>
    </row>
    <row r="2932" spans="2:4" x14ac:dyDescent="0.25">
      <c r="B2932" s="61">
        <v>2899</v>
      </c>
      <c r="C2932" s="61">
        <v>175160.05315360858</v>
      </c>
      <c r="D2932" s="102">
        <v>0.20839845290427106</v>
      </c>
    </row>
    <row r="2933" spans="2:4" x14ac:dyDescent="0.25">
      <c r="B2933" s="61">
        <v>2900</v>
      </c>
      <c r="C2933" s="61">
        <v>65141.202345989528</v>
      </c>
      <c r="D2933" s="102">
        <v>0.12096653334704821</v>
      </c>
    </row>
    <row r="2934" spans="2:4" x14ac:dyDescent="0.25">
      <c r="B2934" s="61">
        <v>2901</v>
      </c>
      <c r="C2934" s="61">
        <v>183613.41917567782</v>
      </c>
      <c r="D2934" s="102">
        <v>0.22944118657688328</v>
      </c>
    </row>
    <row r="2935" spans="2:4" x14ac:dyDescent="0.25">
      <c r="B2935" s="61">
        <v>2902</v>
      </c>
      <c r="C2935" s="61">
        <v>428228.61191977642</v>
      </c>
      <c r="D2935" s="102">
        <v>0.39443310908527485</v>
      </c>
    </row>
    <row r="2936" spans="2:4" x14ac:dyDescent="0.25">
      <c r="B2936" s="61">
        <v>2903</v>
      </c>
      <c r="C2936" s="61">
        <v>669752.52790191758</v>
      </c>
      <c r="D2936" s="102">
        <v>0.53659600425760257</v>
      </c>
    </row>
    <row r="2937" spans="2:4" x14ac:dyDescent="0.25">
      <c r="B2937" s="61">
        <v>2904</v>
      </c>
      <c r="C2937" s="61">
        <v>125022.45565673237</v>
      </c>
      <c r="D2937" s="102">
        <v>0.17248679711927628</v>
      </c>
    </row>
    <row r="2938" spans="2:4" x14ac:dyDescent="0.25">
      <c r="B2938" s="61">
        <v>2905</v>
      </c>
      <c r="C2938" s="61">
        <v>236828.07755504572</v>
      </c>
      <c r="D2938" s="102">
        <v>0.2740161215880732</v>
      </c>
    </row>
    <row r="2939" spans="2:4" x14ac:dyDescent="0.25">
      <c r="B2939" s="61">
        <v>2906</v>
      </c>
      <c r="C2939" s="61">
        <v>487846.33797895431</v>
      </c>
      <c r="D2939" s="102">
        <v>0.37437789904283281</v>
      </c>
    </row>
    <row r="2940" spans="2:4" x14ac:dyDescent="0.25">
      <c r="B2940" s="61">
        <v>2907</v>
      </c>
      <c r="C2940" s="61">
        <v>263156.90456345701</v>
      </c>
      <c r="D2940" s="102">
        <v>0.30051207305048533</v>
      </c>
    </row>
    <row r="2941" spans="2:4" x14ac:dyDescent="0.25">
      <c r="B2941" s="61">
        <v>2908</v>
      </c>
      <c r="C2941" s="61">
        <v>286443.93987133622</v>
      </c>
      <c r="D2941" s="102">
        <v>0.25799755562666005</v>
      </c>
    </row>
    <row r="2942" spans="2:4" x14ac:dyDescent="0.25">
      <c r="B2942" s="61">
        <v>2909</v>
      </c>
      <c r="C2942" s="61">
        <v>278469.83049053454</v>
      </c>
      <c r="D2942" s="102">
        <v>0.23816119618163878</v>
      </c>
    </row>
    <row r="2943" spans="2:4" x14ac:dyDescent="0.25">
      <c r="B2943" s="61">
        <v>2910</v>
      </c>
      <c r="C2943" s="61">
        <v>76203.088294637622</v>
      </c>
      <c r="D2943" s="102">
        <v>0.15094394884608553</v>
      </c>
    </row>
    <row r="2944" spans="2:4" x14ac:dyDescent="0.25">
      <c r="B2944" s="61">
        <v>2911</v>
      </c>
      <c r="C2944" s="61">
        <v>201332.34113130288</v>
      </c>
      <c r="D2944" s="102">
        <v>0.21840526845052111</v>
      </c>
    </row>
    <row r="2945" spans="2:4" x14ac:dyDescent="0.25">
      <c r="B2945" s="61">
        <v>2912</v>
      </c>
      <c r="C2945" s="61">
        <v>365559.30068431003</v>
      </c>
      <c r="D2945" s="102">
        <v>0.32855600162941112</v>
      </c>
    </row>
    <row r="2946" spans="2:4" x14ac:dyDescent="0.25">
      <c r="B2946" s="61">
        <v>2913</v>
      </c>
      <c r="C2946" s="61">
        <v>205108.77162896376</v>
      </c>
      <c r="D2946" s="102">
        <v>0.20738403086665769</v>
      </c>
    </row>
    <row r="2947" spans="2:4" x14ac:dyDescent="0.25">
      <c r="B2947" s="61">
        <v>2914</v>
      </c>
      <c r="C2947" s="61">
        <v>110368.80437618896</v>
      </c>
      <c r="D2947" s="102">
        <v>0.20189863604938907</v>
      </c>
    </row>
    <row r="2948" spans="2:4" x14ac:dyDescent="0.25">
      <c r="B2948" s="61">
        <v>2915</v>
      </c>
      <c r="C2948" s="61">
        <v>134508.85111672292</v>
      </c>
      <c r="D2948" s="102">
        <v>0.16244372870117418</v>
      </c>
    </row>
    <row r="2949" spans="2:4" x14ac:dyDescent="0.25">
      <c r="B2949" s="61">
        <v>2916</v>
      </c>
      <c r="C2949" s="61">
        <v>161005.02679172426</v>
      </c>
      <c r="D2949" s="102">
        <v>0.19205019362848152</v>
      </c>
    </row>
    <row r="2950" spans="2:4" x14ac:dyDescent="0.25">
      <c r="B2950" s="61">
        <v>2917</v>
      </c>
      <c r="C2950" s="61">
        <v>378587.58732439938</v>
      </c>
      <c r="D2950" s="102">
        <v>0.38214473756218492</v>
      </c>
    </row>
    <row r="2951" spans="2:4" x14ac:dyDescent="0.25">
      <c r="B2951" s="61">
        <v>2918</v>
      </c>
      <c r="C2951" s="61">
        <v>259286.88283080421</v>
      </c>
      <c r="D2951" s="102">
        <v>0.22115033954227759</v>
      </c>
    </row>
    <row r="2952" spans="2:4" x14ac:dyDescent="0.25">
      <c r="B2952" s="61">
        <v>2919</v>
      </c>
      <c r="C2952" s="61">
        <v>273864.64196725283</v>
      </c>
      <c r="D2952" s="102">
        <v>0.27872118255033329</v>
      </c>
    </row>
    <row r="2953" spans="2:4" x14ac:dyDescent="0.25">
      <c r="B2953" s="61">
        <v>2920</v>
      </c>
      <c r="C2953" s="61">
        <v>258186.42151064181</v>
      </c>
      <c r="D2953" s="102">
        <v>0.34087904827647253</v>
      </c>
    </row>
    <row r="2954" spans="2:4" x14ac:dyDescent="0.25">
      <c r="B2954" s="61">
        <v>2921</v>
      </c>
      <c r="C2954" s="61">
        <v>236559.74732852401</v>
      </c>
      <c r="D2954" s="102">
        <v>0.26187488331681985</v>
      </c>
    </row>
    <row r="2955" spans="2:4" x14ac:dyDescent="0.25">
      <c r="B2955" s="61">
        <v>2922</v>
      </c>
      <c r="C2955" s="61">
        <v>470459.34208167274</v>
      </c>
      <c r="D2955" s="102">
        <v>0.39569349018095235</v>
      </c>
    </row>
    <row r="2956" spans="2:4" x14ac:dyDescent="0.25">
      <c r="B2956" s="61">
        <v>2923</v>
      </c>
      <c r="C2956" s="61">
        <v>428222.8457114927</v>
      </c>
      <c r="D2956" s="102">
        <v>0.37067257182711932</v>
      </c>
    </row>
    <row r="2957" spans="2:4" x14ac:dyDescent="0.25">
      <c r="B2957" s="61">
        <v>2924</v>
      </c>
      <c r="C2957" s="61">
        <v>-79357.403061298188</v>
      </c>
      <c r="D2957" s="102">
        <v>2.4906431922164796E-3</v>
      </c>
    </row>
    <row r="2958" spans="2:4" x14ac:dyDescent="0.25">
      <c r="B2958" s="61">
        <v>2925</v>
      </c>
      <c r="C2958" s="61">
        <v>307593.51486377465</v>
      </c>
      <c r="D2958" s="102">
        <v>0.29926949326732744</v>
      </c>
    </row>
    <row r="2959" spans="2:4" x14ac:dyDescent="0.25">
      <c r="B2959" s="61">
        <v>2926</v>
      </c>
      <c r="C2959" s="61">
        <v>216674.67493627151</v>
      </c>
      <c r="D2959" s="102">
        <v>0.25005327775382091</v>
      </c>
    </row>
    <row r="2960" spans="2:4" x14ac:dyDescent="0.25">
      <c r="B2960" s="61">
        <v>2927</v>
      </c>
      <c r="C2960" s="61">
        <v>250776.70847010484</v>
      </c>
      <c r="D2960" s="102">
        <v>0.26727805071208643</v>
      </c>
    </row>
    <row r="2961" spans="2:4" x14ac:dyDescent="0.25">
      <c r="B2961" s="61">
        <v>2928</v>
      </c>
      <c r="C2961" s="61">
        <v>254590.75164627261</v>
      </c>
      <c r="D2961" s="102">
        <v>0.28944707809408299</v>
      </c>
    </row>
    <row r="2962" spans="2:4" x14ac:dyDescent="0.25">
      <c r="B2962" s="61">
        <v>2929</v>
      </c>
      <c r="C2962" s="61">
        <v>235043.14979745413</v>
      </c>
      <c r="D2962" s="102">
        <v>0.25295828685544142</v>
      </c>
    </row>
    <row r="2963" spans="2:4" x14ac:dyDescent="0.25">
      <c r="B2963" s="61">
        <v>2930</v>
      </c>
      <c r="C2963" s="61">
        <v>365057.49951076601</v>
      </c>
      <c r="D2963" s="102">
        <v>0.34009506453724314</v>
      </c>
    </row>
    <row r="2964" spans="2:4" x14ac:dyDescent="0.25">
      <c r="B2964" s="61">
        <v>2931</v>
      </c>
      <c r="C2964" s="61">
        <v>-10879.181271699432</v>
      </c>
      <c r="D2964" s="102">
        <v>5.3040559306559487E-2</v>
      </c>
    </row>
    <row r="2965" spans="2:4" x14ac:dyDescent="0.25">
      <c r="B2965" s="61">
        <v>2932</v>
      </c>
      <c r="C2965" s="61">
        <v>146067.27400470542</v>
      </c>
      <c r="D2965" s="102">
        <v>0.19724682793062076</v>
      </c>
    </row>
    <row r="2966" spans="2:4" x14ac:dyDescent="0.25">
      <c r="B2966" s="61">
        <v>2933</v>
      </c>
      <c r="C2966" s="61">
        <v>216609.47190350993</v>
      </c>
      <c r="D2966" s="102">
        <v>0.2259422989132589</v>
      </c>
    </row>
    <row r="2967" spans="2:4" x14ac:dyDescent="0.25">
      <c r="B2967" s="61">
        <v>2934</v>
      </c>
      <c r="C2967" s="61">
        <v>389159.34945873602</v>
      </c>
      <c r="D2967" s="102">
        <v>0.36945099124363212</v>
      </c>
    </row>
    <row r="2968" spans="2:4" x14ac:dyDescent="0.25">
      <c r="B2968" s="61">
        <v>2935</v>
      </c>
      <c r="C2968" s="61">
        <v>325000.01185169572</v>
      </c>
      <c r="D2968" s="102">
        <v>0.31136237176194625</v>
      </c>
    </row>
    <row r="2969" spans="2:4" x14ac:dyDescent="0.25">
      <c r="B2969" s="61">
        <v>2936</v>
      </c>
      <c r="C2969" s="61">
        <v>359269.17228286504</v>
      </c>
      <c r="D2969" s="102">
        <v>0.36787566086800894</v>
      </c>
    </row>
    <row r="2970" spans="2:4" x14ac:dyDescent="0.25">
      <c r="B2970" s="61">
        <v>2937</v>
      </c>
      <c r="C2970" s="61">
        <v>185230.60646957019</v>
      </c>
      <c r="D2970" s="102">
        <v>0.20655345609524023</v>
      </c>
    </row>
    <row r="2971" spans="2:4" x14ac:dyDescent="0.25">
      <c r="B2971" s="61">
        <v>2938</v>
      </c>
      <c r="C2971" s="61">
        <v>163733.85385335598</v>
      </c>
      <c r="D2971" s="102">
        <v>0.19694627986358326</v>
      </c>
    </row>
    <row r="2972" spans="2:4" x14ac:dyDescent="0.25">
      <c r="B2972" s="61">
        <v>2939</v>
      </c>
      <c r="C2972" s="61">
        <v>243484.55695688282</v>
      </c>
      <c r="D2972" s="102">
        <v>0.25603042712789437</v>
      </c>
    </row>
    <row r="2973" spans="2:4" x14ac:dyDescent="0.25">
      <c r="B2973" s="61">
        <v>2940</v>
      </c>
      <c r="C2973" s="61">
        <v>486069.56985672645</v>
      </c>
      <c r="D2973" s="102">
        <v>0.42847517134726498</v>
      </c>
    </row>
    <row r="2974" spans="2:4" x14ac:dyDescent="0.25">
      <c r="B2974" s="61">
        <v>2941</v>
      </c>
      <c r="C2974" s="61">
        <v>288527.77497106732</v>
      </c>
      <c r="D2974" s="102">
        <v>0.25814208855903176</v>
      </c>
    </row>
    <row r="2975" spans="2:4" x14ac:dyDescent="0.25">
      <c r="B2975" s="61">
        <v>2942</v>
      </c>
      <c r="C2975" s="61">
        <v>113345.18384657573</v>
      </c>
      <c r="D2975" s="102">
        <v>0.16807293768301368</v>
      </c>
    </row>
    <row r="2976" spans="2:4" x14ac:dyDescent="0.25">
      <c r="B2976" s="61">
        <v>2943</v>
      </c>
      <c r="C2976" s="61">
        <v>177316.45606219908</v>
      </c>
      <c r="D2976" s="102">
        <v>0.22551699146651383</v>
      </c>
    </row>
    <row r="2977" spans="2:4" x14ac:dyDescent="0.25">
      <c r="B2977" s="61">
        <v>2944</v>
      </c>
      <c r="C2977" s="61">
        <v>268136.32369857316</v>
      </c>
      <c r="D2977" s="102">
        <v>0.27465406585684549</v>
      </c>
    </row>
    <row r="2978" spans="2:4" x14ac:dyDescent="0.25">
      <c r="B2978" s="61">
        <v>2945</v>
      </c>
      <c r="C2978" s="61">
        <v>351096.59012102371</v>
      </c>
      <c r="D2978" s="102">
        <v>0.36692318582382732</v>
      </c>
    </row>
    <row r="2979" spans="2:4" x14ac:dyDescent="0.25">
      <c r="B2979" s="61">
        <v>2946</v>
      </c>
      <c r="C2979" s="61">
        <v>132519.11106036173</v>
      </c>
      <c r="D2979" s="102">
        <v>0.1674860705981005</v>
      </c>
    </row>
    <row r="2980" spans="2:4" x14ac:dyDescent="0.25">
      <c r="B2980" s="61">
        <v>2947</v>
      </c>
      <c r="C2980" s="61">
        <v>187093.98737817199</v>
      </c>
      <c r="D2980" s="102">
        <v>0.20485556533532168</v>
      </c>
    </row>
    <row r="2981" spans="2:4" x14ac:dyDescent="0.25">
      <c r="B2981" s="61">
        <v>2948</v>
      </c>
      <c r="C2981" s="61">
        <v>22945.727751703875</v>
      </c>
      <c r="D2981" s="102">
        <v>8.3652163621787512E-2</v>
      </c>
    </row>
    <row r="2982" spans="2:4" x14ac:dyDescent="0.25">
      <c r="B2982" s="61">
        <v>2949</v>
      </c>
      <c r="C2982" s="61">
        <v>370094.48489943694</v>
      </c>
      <c r="D2982" s="102">
        <v>0.37422816422302518</v>
      </c>
    </row>
    <row r="2983" spans="2:4" x14ac:dyDescent="0.25">
      <c r="B2983" s="61">
        <v>2950</v>
      </c>
      <c r="C2983" s="61">
        <v>173939.94248203386</v>
      </c>
      <c r="D2983" s="102">
        <v>0.19479338470597085</v>
      </c>
    </row>
    <row r="2984" spans="2:4" x14ac:dyDescent="0.25">
      <c r="B2984" s="61">
        <v>2951</v>
      </c>
      <c r="C2984" s="61">
        <v>422918.0547081019</v>
      </c>
      <c r="D2984" s="102">
        <v>0.38496615038343385</v>
      </c>
    </row>
    <row r="2985" spans="2:4" x14ac:dyDescent="0.25">
      <c r="B2985" s="61">
        <v>2952</v>
      </c>
      <c r="C2985" s="61">
        <v>325168.91442904656</v>
      </c>
      <c r="D2985" s="102">
        <v>0.27697097651080615</v>
      </c>
    </row>
    <row r="2986" spans="2:4" x14ac:dyDescent="0.25">
      <c r="B2986" s="61">
        <v>2953</v>
      </c>
      <c r="C2986" s="61">
        <v>392034.32605758251</v>
      </c>
      <c r="D2986" s="102">
        <v>0.39460636785021141</v>
      </c>
    </row>
    <row r="2987" spans="2:4" x14ac:dyDescent="0.25">
      <c r="B2987" s="61">
        <v>2954</v>
      </c>
      <c r="C2987" s="61">
        <v>186053.32367592759</v>
      </c>
      <c r="D2987" s="102">
        <v>0.22144723017045131</v>
      </c>
    </row>
    <row r="2988" spans="2:4" x14ac:dyDescent="0.25">
      <c r="B2988" s="61">
        <v>2955</v>
      </c>
      <c r="C2988" s="61">
        <v>289727.14476778777</v>
      </c>
      <c r="D2988" s="102">
        <v>0.30572767245062371</v>
      </c>
    </row>
    <row r="2989" spans="2:4" x14ac:dyDescent="0.25">
      <c r="B2989" s="61">
        <v>2956</v>
      </c>
      <c r="C2989" s="61">
        <v>319290.25438419904</v>
      </c>
      <c r="D2989" s="102">
        <v>0.29734843302509217</v>
      </c>
    </row>
    <row r="2990" spans="2:4" x14ac:dyDescent="0.25">
      <c r="B2990" s="61">
        <v>2957</v>
      </c>
      <c r="C2990" s="61">
        <v>229192.92181063537</v>
      </c>
      <c r="D2990" s="102">
        <v>0.26703804137629938</v>
      </c>
    </row>
    <row r="2991" spans="2:4" x14ac:dyDescent="0.25">
      <c r="B2991" s="61">
        <v>2958</v>
      </c>
      <c r="C2991" s="61">
        <v>285226.95585887751</v>
      </c>
      <c r="D2991" s="102">
        <v>0.26256012588304656</v>
      </c>
    </row>
    <row r="2992" spans="2:4" x14ac:dyDescent="0.25">
      <c r="B2992" s="61">
        <v>2959</v>
      </c>
      <c r="C2992" s="61">
        <v>280474.60470926273</v>
      </c>
      <c r="D2992" s="102">
        <v>0.27469720702411538</v>
      </c>
    </row>
    <row r="2993" spans="2:4" x14ac:dyDescent="0.25">
      <c r="B2993" s="61">
        <v>2960</v>
      </c>
      <c r="C2993" s="61">
        <v>265908.32337976783</v>
      </c>
      <c r="D2993" s="102">
        <v>0.30956953296059231</v>
      </c>
    </row>
    <row r="2994" spans="2:4" x14ac:dyDescent="0.25">
      <c r="B2994" s="61">
        <v>2961</v>
      </c>
      <c r="C2994" s="61">
        <v>209531.0373379502</v>
      </c>
      <c r="D2994" s="102">
        <v>0.27919646684664623</v>
      </c>
    </row>
    <row r="2995" spans="2:4" x14ac:dyDescent="0.25">
      <c r="B2995" s="61">
        <v>2962</v>
      </c>
      <c r="C2995" s="61">
        <v>207515.93008940725</v>
      </c>
      <c r="D2995" s="102">
        <v>0.24531062004623427</v>
      </c>
    </row>
    <row r="2996" spans="2:4" x14ac:dyDescent="0.25">
      <c r="B2996" s="61">
        <v>2963</v>
      </c>
      <c r="C2996" s="61">
        <v>347993.98090187635</v>
      </c>
      <c r="D2996" s="102">
        <v>0.34218587507019005</v>
      </c>
    </row>
    <row r="2997" spans="2:4" x14ac:dyDescent="0.25">
      <c r="B2997" s="61">
        <v>2964</v>
      </c>
      <c r="C2997" s="61">
        <v>252071.5792091958</v>
      </c>
      <c r="D2997" s="102">
        <v>0.2326260432573537</v>
      </c>
    </row>
    <row r="2998" spans="2:4" x14ac:dyDescent="0.25">
      <c r="B2998" s="61">
        <v>2965</v>
      </c>
      <c r="C2998" s="61">
        <v>82534.170619202661</v>
      </c>
      <c r="D2998" s="102">
        <v>0.13897554669153922</v>
      </c>
    </row>
    <row r="2999" spans="2:4" x14ac:dyDescent="0.25">
      <c r="B2999" s="61">
        <v>2966</v>
      </c>
      <c r="C2999" s="61">
        <v>91098.12617546448</v>
      </c>
      <c r="D2999" s="102">
        <v>0.14657905953092176</v>
      </c>
    </row>
    <row r="3000" spans="2:4" x14ac:dyDescent="0.25">
      <c r="B3000" s="61">
        <v>2967</v>
      </c>
      <c r="C3000" s="61">
        <v>157142.94767460407</v>
      </c>
      <c r="D3000" s="102">
        <v>0.20778749609029901</v>
      </c>
    </row>
    <row r="3001" spans="2:4" x14ac:dyDescent="0.25">
      <c r="B3001" s="61">
        <v>2968</v>
      </c>
      <c r="C3001" s="61">
        <v>289618.28690734692</v>
      </c>
      <c r="D3001" s="102">
        <v>0.31541690562233771</v>
      </c>
    </row>
    <row r="3002" spans="2:4" x14ac:dyDescent="0.25">
      <c r="B3002" s="61">
        <v>2969</v>
      </c>
      <c r="C3002" s="61">
        <v>283583.74022791872</v>
      </c>
      <c r="D3002" s="102">
        <v>0.28511839997508726</v>
      </c>
    </row>
    <row r="3003" spans="2:4" x14ac:dyDescent="0.25">
      <c r="B3003" s="61">
        <v>2970</v>
      </c>
      <c r="C3003" s="61">
        <v>401720.4811817013</v>
      </c>
      <c r="D3003" s="102">
        <v>0.38450775338365561</v>
      </c>
    </row>
    <row r="3004" spans="2:4" x14ac:dyDescent="0.25">
      <c r="B3004" s="61">
        <v>2971</v>
      </c>
      <c r="C3004" s="61">
        <v>296575.36670393706</v>
      </c>
      <c r="D3004" s="102">
        <v>0.32041368589134889</v>
      </c>
    </row>
    <row r="3005" spans="2:4" x14ac:dyDescent="0.25">
      <c r="B3005" s="61">
        <v>2972</v>
      </c>
      <c r="C3005" s="61">
        <v>254382.399293717</v>
      </c>
      <c r="D3005" s="102">
        <v>0.25803987494867742</v>
      </c>
    </row>
    <row r="3006" spans="2:4" x14ac:dyDescent="0.25">
      <c r="B3006" s="61">
        <v>2973</v>
      </c>
      <c r="C3006" s="61">
        <v>80209.361870920635</v>
      </c>
      <c r="D3006" s="102">
        <v>0.1293472451817097</v>
      </c>
    </row>
    <row r="3007" spans="2:4" x14ac:dyDescent="0.25">
      <c r="B3007" s="61">
        <v>2974</v>
      </c>
      <c r="C3007" s="61">
        <v>443492.09341883194</v>
      </c>
      <c r="D3007" s="102">
        <v>0.42551606957948507</v>
      </c>
    </row>
    <row r="3008" spans="2:4" x14ac:dyDescent="0.25">
      <c r="B3008" s="61">
        <v>2975</v>
      </c>
      <c r="C3008" s="61">
        <v>308060.51899373787</v>
      </c>
      <c r="D3008" s="102">
        <v>0.31439994339137312</v>
      </c>
    </row>
    <row r="3009" spans="2:4" x14ac:dyDescent="0.25">
      <c r="B3009" s="61">
        <v>2976</v>
      </c>
      <c r="C3009" s="61">
        <v>277557.79730196472</v>
      </c>
      <c r="D3009" s="102">
        <v>0.31905031505790249</v>
      </c>
    </row>
    <row r="3010" spans="2:4" x14ac:dyDescent="0.25">
      <c r="B3010" s="61">
        <v>2977</v>
      </c>
      <c r="C3010" s="61">
        <v>318258.9623397449</v>
      </c>
      <c r="D3010" s="102">
        <v>0.28239444410049952</v>
      </c>
    </row>
    <row r="3011" spans="2:4" x14ac:dyDescent="0.25">
      <c r="B3011" s="61">
        <v>2978</v>
      </c>
      <c r="C3011" s="61">
        <v>101880.95636599959</v>
      </c>
      <c r="D3011" s="102">
        <v>0.15322193277317409</v>
      </c>
    </row>
    <row r="3012" spans="2:4" x14ac:dyDescent="0.25">
      <c r="B3012" s="61">
        <v>2979</v>
      </c>
      <c r="C3012" s="61">
        <v>313240.1894407178</v>
      </c>
      <c r="D3012" s="102">
        <v>0.33239669523100224</v>
      </c>
    </row>
    <row r="3013" spans="2:4" x14ac:dyDescent="0.25">
      <c r="B3013" s="61">
        <v>2980</v>
      </c>
      <c r="C3013" s="61">
        <v>312882.18792645505</v>
      </c>
      <c r="D3013" s="102">
        <v>0.32163501328025768</v>
      </c>
    </row>
    <row r="3014" spans="2:4" x14ac:dyDescent="0.25">
      <c r="B3014" s="61">
        <v>2981</v>
      </c>
      <c r="C3014" s="61">
        <v>308731.67502175039</v>
      </c>
      <c r="D3014" s="102">
        <v>0.26493943489973248</v>
      </c>
    </row>
    <row r="3015" spans="2:4" x14ac:dyDescent="0.25">
      <c r="B3015" s="61">
        <v>2982</v>
      </c>
      <c r="C3015" s="61">
        <v>237490.77299459721</v>
      </c>
      <c r="D3015" s="102">
        <v>0.22572816597289291</v>
      </c>
    </row>
    <row r="3016" spans="2:4" x14ac:dyDescent="0.25">
      <c r="B3016" s="61">
        <v>2983</v>
      </c>
      <c r="C3016" s="61">
        <v>38957.259158506524</v>
      </c>
      <c r="D3016" s="102">
        <v>9.1641776311360168E-2</v>
      </c>
    </row>
    <row r="3017" spans="2:4" x14ac:dyDescent="0.25">
      <c r="B3017" s="61">
        <v>2984</v>
      </c>
      <c r="C3017" s="61">
        <v>132741.03701308405</v>
      </c>
      <c r="D3017" s="102">
        <v>0.16630737397149997</v>
      </c>
    </row>
    <row r="3018" spans="2:4" x14ac:dyDescent="0.25">
      <c r="B3018" s="61">
        <v>2985</v>
      </c>
      <c r="C3018" s="61">
        <v>423720.32018563536</v>
      </c>
      <c r="D3018" s="102">
        <v>0.37764441170844498</v>
      </c>
    </row>
    <row r="3019" spans="2:4" x14ac:dyDescent="0.25">
      <c r="B3019" s="61">
        <v>2986</v>
      </c>
      <c r="C3019" s="61">
        <v>448924.33582259621</v>
      </c>
      <c r="D3019" s="102">
        <v>0.39524809604988964</v>
      </c>
    </row>
    <row r="3020" spans="2:4" x14ac:dyDescent="0.25">
      <c r="B3020" s="61">
        <v>2987</v>
      </c>
      <c r="C3020" s="61">
        <v>5479.3360814590123</v>
      </c>
      <c r="D3020" s="102">
        <v>6.8451737557849279E-2</v>
      </c>
    </row>
    <row r="3021" spans="2:4" x14ac:dyDescent="0.25">
      <c r="B3021" s="61">
        <v>2988</v>
      </c>
      <c r="C3021" s="61">
        <v>198679.78071462619</v>
      </c>
      <c r="D3021" s="102">
        <v>0.19553128172112255</v>
      </c>
    </row>
    <row r="3022" spans="2:4" x14ac:dyDescent="0.25">
      <c r="B3022" s="61">
        <v>2989</v>
      </c>
      <c r="C3022" s="61">
        <v>335819.57756870519</v>
      </c>
      <c r="D3022" s="102">
        <v>0.31314966706845837</v>
      </c>
    </row>
    <row r="3023" spans="2:4" x14ac:dyDescent="0.25">
      <c r="B3023" s="61">
        <v>2990</v>
      </c>
      <c r="C3023" s="61">
        <v>75910.69434857025</v>
      </c>
      <c r="D3023" s="102">
        <v>0.13197190550182736</v>
      </c>
    </row>
    <row r="3024" spans="2:4" x14ac:dyDescent="0.25">
      <c r="B3024" s="61">
        <v>2991</v>
      </c>
      <c r="C3024" s="61">
        <v>197252.70093672781</v>
      </c>
      <c r="D3024" s="102">
        <v>0.23882503330211313</v>
      </c>
    </row>
    <row r="3025" spans="2:4" x14ac:dyDescent="0.25">
      <c r="B3025" s="61">
        <v>2992</v>
      </c>
      <c r="C3025" s="61">
        <v>116135.30592638039</v>
      </c>
      <c r="D3025" s="102">
        <v>0.16081586181038077</v>
      </c>
    </row>
    <row r="3026" spans="2:4" x14ac:dyDescent="0.25">
      <c r="B3026" s="61">
        <v>2993</v>
      </c>
      <c r="C3026" s="61">
        <v>218703.19312874647</v>
      </c>
      <c r="D3026" s="102">
        <v>0.26048768761867547</v>
      </c>
    </row>
    <row r="3027" spans="2:4" x14ac:dyDescent="0.25">
      <c r="B3027" s="61">
        <v>2994</v>
      </c>
      <c r="C3027" s="61">
        <v>334487.34390373598</v>
      </c>
      <c r="D3027" s="102">
        <v>0.30543875294295697</v>
      </c>
    </row>
    <row r="3028" spans="2:4" x14ac:dyDescent="0.25">
      <c r="B3028" s="61">
        <v>2995</v>
      </c>
      <c r="C3028" s="61">
        <v>-32164.166181977256</v>
      </c>
      <c r="D3028" s="102">
        <v>4.044654775801515E-2</v>
      </c>
    </row>
    <row r="3029" spans="2:4" x14ac:dyDescent="0.25">
      <c r="B3029" s="61">
        <v>2996</v>
      </c>
      <c r="C3029" s="61">
        <v>323689.57758928055</v>
      </c>
      <c r="D3029" s="102">
        <v>0.31293956763283992</v>
      </c>
    </row>
    <row r="3030" spans="2:4" x14ac:dyDescent="0.25">
      <c r="B3030" s="61">
        <v>2997</v>
      </c>
      <c r="C3030" s="61">
        <v>191654.83191596845</v>
      </c>
      <c r="D3030" s="102">
        <v>0.21467997813022532</v>
      </c>
    </row>
    <row r="3031" spans="2:4" x14ac:dyDescent="0.25">
      <c r="B3031" s="61">
        <v>2998</v>
      </c>
      <c r="C3031" s="61">
        <v>158878.90757853026</v>
      </c>
      <c r="D3031" s="102">
        <v>0.19566042477076873</v>
      </c>
    </row>
    <row r="3032" spans="2:4" x14ac:dyDescent="0.25">
      <c r="B3032" s="61">
        <v>2999</v>
      </c>
      <c r="C3032" s="61">
        <v>194857.51818163763</v>
      </c>
      <c r="D3032" s="102">
        <v>0.24236444119897538</v>
      </c>
    </row>
    <row r="3033" spans="2:4" x14ac:dyDescent="0.25">
      <c r="B3033" s="61">
        <v>3000</v>
      </c>
      <c r="C3033" s="61">
        <v>158648.23826911283</v>
      </c>
      <c r="D3033" s="102">
        <v>0.19070227033605014</v>
      </c>
    </row>
    <row r="3034" spans="2:4" x14ac:dyDescent="0.25">
      <c r="B3034" s="61">
        <v>3001</v>
      </c>
      <c r="C3034" s="61">
        <v>367241.13062388427</v>
      </c>
      <c r="D3034" s="102">
        <v>0.36624700759793116</v>
      </c>
    </row>
    <row r="3035" spans="2:4" x14ac:dyDescent="0.25">
      <c r="B3035" s="61">
        <v>3002</v>
      </c>
      <c r="C3035" s="61">
        <v>287864.08985276835</v>
      </c>
      <c r="D3035" s="102">
        <v>0.29945918897753998</v>
      </c>
    </row>
    <row r="3036" spans="2:4" x14ac:dyDescent="0.25">
      <c r="B3036" s="61">
        <v>3003</v>
      </c>
      <c r="C3036" s="61">
        <v>43400.767712990695</v>
      </c>
      <c r="D3036" s="102">
        <v>0.10788915382333197</v>
      </c>
    </row>
    <row r="3037" spans="2:4" x14ac:dyDescent="0.25">
      <c r="B3037" s="61">
        <v>3004</v>
      </c>
      <c r="C3037" s="61">
        <v>445711.35318059369</v>
      </c>
      <c r="D3037" s="102">
        <v>0.39811985528138893</v>
      </c>
    </row>
    <row r="3038" spans="2:4" x14ac:dyDescent="0.25">
      <c r="B3038" s="61">
        <v>3005</v>
      </c>
      <c r="C3038" s="61">
        <v>132301.22728068987</v>
      </c>
      <c r="D3038" s="102">
        <v>0.16583901164192372</v>
      </c>
    </row>
    <row r="3039" spans="2:4" x14ac:dyDescent="0.25">
      <c r="B3039" s="61">
        <v>3006</v>
      </c>
      <c r="C3039" s="61">
        <v>328823.66818097723</v>
      </c>
      <c r="D3039" s="102">
        <v>0.30885042652042194</v>
      </c>
    </row>
    <row r="3040" spans="2:4" x14ac:dyDescent="0.25">
      <c r="B3040" s="61">
        <v>3007</v>
      </c>
      <c r="C3040" s="61">
        <v>350875.27764286753</v>
      </c>
      <c r="D3040" s="102">
        <v>0.33433606599546617</v>
      </c>
    </row>
    <row r="3041" spans="2:4" x14ac:dyDescent="0.25">
      <c r="B3041" s="61">
        <v>3008</v>
      </c>
      <c r="C3041" s="61">
        <v>133561.82900818932</v>
      </c>
      <c r="D3041" s="102">
        <v>0.15730783744687127</v>
      </c>
    </row>
    <row r="3042" spans="2:4" x14ac:dyDescent="0.25">
      <c r="B3042" s="61">
        <v>3009</v>
      </c>
      <c r="C3042" s="61">
        <v>14222.126176153426</v>
      </c>
      <c r="D3042" s="102">
        <v>7.3192199369519262E-2</v>
      </c>
    </row>
    <row r="3043" spans="2:4" x14ac:dyDescent="0.25">
      <c r="B3043" s="61">
        <v>3010</v>
      </c>
      <c r="C3043" s="61">
        <v>131109.84868946427</v>
      </c>
      <c r="D3043" s="102">
        <v>0.15821815050965804</v>
      </c>
    </row>
    <row r="3044" spans="2:4" x14ac:dyDescent="0.25">
      <c r="B3044" s="61">
        <v>3011</v>
      </c>
      <c r="C3044" s="61">
        <v>499832.34278440161</v>
      </c>
      <c r="D3044" s="102">
        <v>0.48737736745262961</v>
      </c>
    </row>
    <row r="3045" spans="2:4" x14ac:dyDescent="0.25">
      <c r="B3045" s="61">
        <v>3012</v>
      </c>
      <c r="C3045" s="61">
        <v>96827.237994078954</v>
      </c>
      <c r="D3045" s="102">
        <v>0.14213009092934925</v>
      </c>
    </row>
    <row r="3046" spans="2:4" x14ac:dyDescent="0.25">
      <c r="B3046" s="61">
        <v>3013</v>
      </c>
      <c r="C3046" s="61">
        <v>266950.42570219783</v>
      </c>
      <c r="D3046" s="102">
        <v>0.30083378899870516</v>
      </c>
    </row>
    <row r="3047" spans="2:4" x14ac:dyDescent="0.25">
      <c r="B3047" s="61">
        <v>3014</v>
      </c>
      <c r="C3047" s="61">
        <v>223949.85019380122</v>
      </c>
      <c r="D3047" s="102">
        <v>0.23449100589605676</v>
      </c>
    </row>
    <row r="3048" spans="2:4" x14ac:dyDescent="0.25">
      <c r="B3048" s="61">
        <v>3015</v>
      </c>
      <c r="C3048" s="61">
        <v>329100.36473213288</v>
      </c>
      <c r="D3048" s="102">
        <v>0.27957214661568464</v>
      </c>
    </row>
    <row r="3049" spans="2:4" x14ac:dyDescent="0.25">
      <c r="B3049" s="61">
        <v>3016</v>
      </c>
      <c r="C3049" s="61">
        <v>167708.84408665576</v>
      </c>
      <c r="D3049" s="102">
        <v>0.1980979513177723</v>
      </c>
    </row>
    <row r="3050" spans="2:4" x14ac:dyDescent="0.25">
      <c r="B3050" s="61">
        <v>3017</v>
      </c>
      <c r="C3050" s="61">
        <v>348746.42674457328</v>
      </c>
      <c r="D3050" s="102">
        <v>0.35316707834119443</v>
      </c>
    </row>
    <row r="3051" spans="2:4" x14ac:dyDescent="0.25">
      <c r="B3051" s="61">
        <v>3018</v>
      </c>
      <c r="C3051" s="61">
        <v>227128.7221009573</v>
      </c>
      <c r="D3051" s="102">
        <v>0.23666260271932194</v>
      </c>
    </row>
    <row r="3052" spans="2:4" x14ac:dyDescent="0.25">
      <c r="B3052" s="61">
        <v>3019</v>
      </c>
      <c r="C3052" s="61">
        <v>409932.32168411964</v>
      </c>
      <c r="D3052" s="102">
        <v>0.36582505475528726</v>
      </c>
    </row>
    <row r="3053" spans="2:4" x14ac:dyDescent="0.25">
      <c r="B3053" s="61">
        <v>3020</v>
      </c>
      <c r="C3053" s="61">
        <v>146357.81670895714</v>
      </c>
      <c r="D3053" s="102">
        <v>0.18624978863690589</v>
      </c>
    </row>
    <row r="3054" spans="2:4" x14ac:dyDescent="0.25">
      <c r="B3054" s="61">
        <v>3021</v>
      </c>
      <c r="C3054" s="61">
        <v>186852.99718623154</v>
      </c>
      <c r="D3054" s="102">
        <v>0.20938165486653948</v>
      </c>
    </row>
    <row r="3055" spans="2:4" x14ac:dyDescent="0.25">
      <c r="B3055" s="61">
        <v>3022</v>
      </c>
      <c r="C3055" s="61">
        <v>366135.92848126567</v>
      </c>
      <c r="D3055" s="102">
        <v>0.35232990374042861</v>
      </c>
    </row>
    <row r="3056" spans="2:4" x14ac:dyDescent="0.25">
      <c r="B3056" s="61">
        <v>3023</v>
      </c>
      <c r="C3056" s="61">
        <v>-26115.920829640934</v>
      </c>
      <c r="D3056" s="102">
        <v>4.1962734631832754E-2</v>
      </c>
    </row>
    <row r="3057" spans="2:4" x14ac:dyDescent="0.25">
      <c r="B3057" s="61">
        <v>3024</v>
      </c>
      <c r="C3057" s="61">
        <v>394107.47037274332</v>
      </c>
      <c r="D3057" s="102">
        <v>0.3776020660424837</v>
      </c>
    </row>
    <row r="3058" spans="2:4" x14ac:dyDescent="0.25">
      <c r="B3058" s="61">
        <v>3025</v>
      </c>
      <c r="C3058" s="61">
        <v>414291.60600357095</v>
      </c>
      <c r="D3058" s="102">
        <v>0.34861851562632395</v>
      </c>
    </row>
    <row r="3059" spans="2:4" x14ac:dyDescent="0.25">
      <c r="B3059" s="61">
        <v>3026</v>
      </c>
      <c r="C3059" s="61">
        <v>479304.38263204019</v>
      </c>
      <c r="D3059" s="102">
        <v>0.37293532993439915</v>
      </c>
    </row>
    <row r="3060" spans="2:4" x14ac:dyDescent="0.25">
      <c r="B3060" s="61">
        <v>3027</v>
      </c>
      <c r="C3060" s="61">
        <v>325185.05063151801</v>
      </c>
      <c r="D3060" s="102">
        <v>0.34237337384852573</v>
      </c>
    </row>
    <row r="3061" spans="2:4" x14ac:dyDescent="0.25">
      <c r="B3061" s="61">
        <v>3028</v>
      </c>
      <c r="C3061" s="61">
        <v>250595.51691470703</v>
      </c>
      <c r="D3061" s="102">
        <v>0.29148416643214059</v>
      </c>
    </row>
    <row r="3062" spans="2:4" x14ac:dyDescent="0.25">
      <c r="B3062" s="61">
        <v>3029</v>
      </c>
      <c r="C3062" s="61">
        <v>169560.58916772553</v>
      </c>
      <c r="D3062" s="102">
        <v>0.19777216414204601</v>
      </c>
    </row>
    <row r="3063" spans="2:4" x14ac:dyDescent="0.25">
      <c r="B3063" s="61">
        <v>3030</v>
      </c>
      <c r="C3063" s="61">
        <v>417594.6503056034</v>
      </c>
      <c r="D3063" s="102">
        <v>0.35035227749455045</v>
      </c>
    </row>
    <row r="3064" spans="2:4" x14ac:dyDescent="0.25">
      <c r="B3064" s="61">
        <v>3031</v>
      </c>
      <c r="C3064" s="61">
        <v>479299.65006944223</v>
      </c>
      <c r="D3064" s="102">
        <v>0.42324159767941527</v>
      </c>
    </row>
    <row r="3065" spans="2:4" x14ac:dyDescent="0.25">
      <c r="B3065" s="61">
        <v>3032</v>
      </c>
      <c r="C3065" s="61">
        <v>144053.75280871015</v>
      </c>
      <c r="D3065" s="102">
        <v>0.19001639868436437</v>
      </c>
    </row>
    <row r="3066" spans="2:4" x14ac:dyDescent="0.25">
      <c r="B3066" s="61">
        <v>3033</v>
      </c>
      <c r="C3066" s="61">
        <v>245034.33677330939</v>
      </c>
      <c r="D3066" s="102">
        <v>0.23959416736670258</v>
      </c>
    </row>
    <row r="3067" spans="2:4" x14ac:dyDescent="0.25">
      <c r="B3067" s="61">
        <v>3034</v>
      </c>
      <c r="C3067" s="61">
        <v>276831.05441878946</v>
      </c>
      <c r="D3067" s="102">
        <v>0.310625170177798</v>
      </c>
    </row>
    <row r="3068" spans="2:4" x14ac:dyDescent="0.25">
      <c r="B3068" s="61">
        <v>3035</v>
      </c>
      <c r="C3068" s="61">
        <v>369486.92806456832</v>
      </c>
      <c r="D3068" s="102">
        <v>0.37283257700405148</v>
      </c>
    </row>
    <row r="3069" spans="2:4" x14ac:dyDescent="0.25">
      <c r="B3069" s="61">
        <v>3036</v>
      </c>
      <c r="C3069" s="61">
        <v>427516.94417568867</v>
      </c>
      <c r="D3069" s="102">
        <v>0.35801421075003592</v>
      </c>
    </row>
    <row r="3070" spans="2:4" x14ac:dyDescent="0.25">
      <c r="B3070" s="61">
        <v>3037</v>
      </c>
      <c r="C3070" s="61">
        <v>381621.44958997855</v>
      </c>
      <c r="D3070" s="102">
        <v>0.40477206320634651</v>
      </c>
    </row>
    <row r="3071" spans="2:4" x14ac:dyDescent="0.25">
      <c r="B3071" s="61">
        <v>3038</v>
      </c>
      <c r="C3071" s="61">
        <v>376202.48172364873</v>
      </c>
      <c r="D3071" s="102">
        <v>0.36116983649700818</v>
      </c>
    </row>
    <row r="3072" spans="2:4" x14ac:dyDescent="0.25">
      <c r="B3072" s="61">
        <v>3039</v>
      </c>
      <c r="C3072" s="61">
        <v>82996.476985572022</v>
      </c>
      <c r="D3072" s="102">
        <v>0.130416844492516</v>
      </c>
    </row>
    <row r="3073" spans="2:4" x14ac:dyDescent="0.25">
      <c r="B3073" s="61">
        <v>3040</v>
      </c>
      <c r="C3073" s="61">
        <v>292739.88973190077</v>
      </c>
      <c r="D3073" s="102">
        <v>0.33495827743494289</v>
      </c>
    </row>
    <row r="3074" spans="2:4" x14ac:dyDescent="0.25">
      <c r="B3074" s="61">
        <v>3041</v>
      </c>
      <c r="C3074" s="61">
        <v>283933.34202497045</v>
      </c>
      <c r="D3074" s="102">
        <v>0.31242451278096128</v>
      </c>
    </row>
    <row r="3075" spans="2:4" x14ac:dyDescent="0.25">
      <c r="B3075" s="61">
        <v>3042</v>
      </c>
      <c r="C3075" s="61">
        <v>181832.18168811582</v>
      </c>
      <c r="D3075" s="102">
        <v>0.22046094519480763</v>
      </c>
    </row>
    <row r="3076" spans="2:4" x14ac:dyDescent="0.25">
      <c r="B3076" s="61">
        <v>3043</v>
      </c>
      <c r="C3076" s="61">
        <v>350957.05347800883</v>
      </c>
      <c r="D3076" s="102">
        <v>0.3645465795320737</v>
      </c>
    </row>
    <row r="3077" spans="2:4" x14ac:dyDescent="0.25">
      <c r="B3077" s="61">
        <v>3044</v>
      </c>
      <c r="C3077" s="61">
        <v>-65209.293896554445</v>
      </c>
      <c r="D3077" s="102">
        <v>9.1317991158279543E-3</v>
      </c>
    </row>
    <row r="3078" spans="2:4" x14ac:dyDescent="0.25">
      <c r="B3078" s="61">
        <v>3045</v>
      </c>
      <c r="C3078" s="61">
        <v>299775.48879309918</v>
      </c>
      <c r="D3078" s="102">
        <v>0.2793169833510909</v>
      </c>
    </row>
    <row r="3079" spans="2:4" x14ac:dyDescent="0.25">
      <c r="B3079" s="61">
        <v>3046</v>
      </c>
      <c r="C3079" s="61">
        <v>309195.71049177437</v>
      </c>
      <c r="D3079" s="102">
        <v>0.40710686971132048</v>
      </c>
    </row>
    <row r="3080" spans="2:4" x14ac:dyDescent="0.25">
      <c r="B3080" s="61">
        <v>3047</v>
      </c>
      <c r="C3080" s="61">
        <v>224529.85040996934</v>
      </c>
      <c r="D3080" s="102">
        <v>0.22924328493813162</v>
      </c>
    </row>
    <row r="3081" spans="2:4" x14ac:dyDescent="0.25">
      <c r="B3081" s="61">
        <v>3048</v>
      </c>
      <c r="C3081" s="61">
        <v>217895.82905977091</v>
      </c>
      <c r="D3081" s="102">
        <v>0.21161773464004408</v>
      </c>
    </row>
    <row r="3082" spans="2:4" x14ac:dyDescent="0.25">
      <c r="B3082" s="61">
        <v>3049</v>
      </c>
      <c r="C3082" s="61">
        <v>312297.85029208241</v>
      </c>
      <c r="D3082" s="102">
        <v>0.33822295076257514</v>
      </c>
    </row>
    <row r="3083" spans="2:4" x14ac:dyDescent="0.25">
      <c r="B3083" s="61">
        <v>3050</v>
      </c>
      <c r="C3083" s="61">
        <v>482103.76736858231</v>
      </c>
      <c r="D3083" s="102">
        <v>0.46329199149452238</v>
      </c>
    </row>
    <row r="3084" spans="2:4" x14ac:dyDescent="0.25">
      <c r="B3084" s="61">
        <v>3051</v>
      </c>
      <c r="C3084" s="61">
        <v>389992.75654804159</v>
      </c>
      <c r="D3084" s="102">
        <v>0.35804732658906113</v>
      </c>
    </row>
    <row r="3085" spans="2:4" x14ac:dyDescent="0.25">
      <c r="B3085" s="61">
        <v>3052</v>
      </c>
      <c r="C3085" s="61">
        <v>550761.0582163441</v>
      </c>
      <c r="D3085" s="102">
        <v>0.5252207971577354</v>
      </c>
    </row>
    <row r="3086" spans="2:4" x14ac:dyDescent="0.25">
      <c r="B3086" s="61">
        <v>3053</v>
      </c>
      <c r="C3086" s="61">
        <v>182377.45040181023</v>
      </c>
      <c r="D3086" s="102">
        <v>0.18988400849129095</v>
      </c>
    </row>
    <row r="3087" spans="2:4" x14ac:dyDescent="0.25">
      <c r="B3087" s="61">
        <v>3054</v>
      </c>
      <c r="C3087" s="61">
        <v>366055.30289500649</v>
      </c>
      <c r="D3087" s="102">
        <v>0.38721218846161487</v>
      </c>
    </row>
    <row r="3088" spans="2:4" x14ac:dyDescent="0.25">
      <c r="B3088" s="61">
        <v>3055</v>
      </c>
      <c r="C3088" s="61">
        <v>152035.03746623022</v>
      </c>
      <c r="D3088" s="102">
        <v>0.17109453639941474</v>
      </c>
    </row>
    <row r="3089" spans="2:4" x14ac:dyDescent="0.25">
      <c r="B3089" s="61">
        <v>3056</v>
      </c>
      <c r="C3089" s="61">
        <v>353121.89265296957</v>
      </c>
      <c r="D3089" s="102">
        <v>0.36622362350024296</v>
      </c>
    </row>
    <row r="3090" spans="2:4" x14ac:dyDescent="0.25">
      <c r="B3090" s="61">
        <v>3057</v>
      </c>
      <c r="C3090" s="61">
        <v>393764.20212033216</v>
      </c>
      <c r="D3090" s="102">
        <v>0.3647623397254407</v>
      </c>
    </row>
    <row r="3091" spans="2:4" x14ac:dyDescent="0.25">
      <c r="B3091" s="61">
        <v>3058</v>
      </c>
      <c r="C3091" s="61">
        <v>418826.16772953817</v>
      </c>
      <c r="D3091" s="102">
        <v>0.38965732101148443</v>
      </c>
    </row>
    <row r="3092" spans="2:4" x14ac:dyDescent="0.25">
      <c r="B3092" s="61">
        <v>3059</v>
      </c>
      <c r="C3092" s="61">
        <v>185820.3294051094</v>
      </c>
      <c r="D3092" s="102">
        <v>0.19911373456223469</v>
      </c>
    </row>
    <row r="3093" spans="2:4" x14ac:dyDescent="0.25">
      <c r="B3093" s="61">
        <v>3060</v>
      </c>
      <c r="C3093" s="61">
        <v>337795.73490830977</v>
      </c>
      <c r="D3093" s="102">
        <v>0.27614382820742733</v>
      </c>
    </row>
    <row r="3094" spans="2:4" x14ac:dyDescent="0.25">
      <c r="B3094" s="61">
        <v>3061</v>
      </c>
      <c r="C3094" s="61">
        <v>290153.80733348115</v>
      </c>
      <c r="D3094" s="102">
        <v>0.26617069842256047</v>
      </c>
    </row>
    <row r="3095" spans="2:4" x14ac:dyDescent="0.25">
      <c r="B3095" s="61">
        <v>3062</v>
      </c>
      <c r="C3095" s="61">
        <v>168865.03863982519</v>
      </c>
      <c r="D3095" s="102">
        <v>0.184371881532015</v>
      </c>
    </row>
    <row r="3096" spans="2:4" x14ac:dyDescent="0.25">
      <c r="B3096" s="61">
        <v>3063</v>
      </c>
      <c r="C3096" s="61">
        <v>369359.18480915448</v>
      </c>
      <c r="D3096" s="102">
        <v>0.38361333130252695</v>
      </c>
    </row>
    <row r="3097" spans="2:4" x14ac:dyDescent="0.25">
      <c r="B3097" s="61">
        <v>3064</v>
      </c>
      <c r="C3097" s="61">
        <v>-100874.51312973816</v>
      </c>
      <c r="D3097" s="102">
        <v>-1.1507471635411881E-2</v>
      </c>
    </row>
    <row r="3098" spans="2:4" x14ac:dyDescent="0.25">
      <c r="B3098" s="61">
        <v>3065</v>
      </c>
      <c r="C3098" s="61">
        <v>109942.28747225646</v>
      </c>
      <c r="D3098" s="102">
        <v>0.15630369643968245</v>
      </c>
    </row>
    <row r="3099" spans="2:4" x14ac:dyDescent="0.25">
      <c r="B3099" s="61">
        <v>3066</v>
      </c>
      <c r="C3099" s="61">
        <v>4791.7857080369722</v>
      </c>
      <c r="D3099" s="102">
        <v>6.7301498394139569E-2</v>
      </c>
    </row>
    <row r="3100" spans="2:4" x14ac:dyDescent="0.25">
      <c r="B3100" s="61">
        <v>3067</v>
      </c>
      <c r="C3100" s="61">
        <v>318559.00297398493</v>
      </c>
      <c r="D3100" s="102">
        <v>0.30265992333948932</v>
      </c>
    </row>
    <row r="3101" spans="2:4" x14ac:dyDescent="0.25">
      <c r="B3101" s="61">
        <v>3068</v>
      </c>
      <c r="C3101" s="61">
        <v>412050.81195188756</v>
      </c>
      <c r="D3101" s="102">
        <v>0.50238022373121738</v>
      </c>
    </row>
    <row r="3102" spans="2:4" x14ac:dyDescent="0.25">
      <c r="B3102" s="61">
        <v>3069</v>
      </c>
      <c r="C3102" s="61">
        <v>216398.90047826956</v>
      </c>
      <c r="D3102" s="102">
        <v>0.24650464940127925</v>
      </c>
    </row>
    <row r="3103" spans="2:4" x14ac:dyDescent="0.25">
      <c r="B3103" s="61">
        <v>3070</v>
      </c>
      <c r="C3103" s="61">
        <v>201354.00837364327</v>
      </c>
      <c r="D3103" s="102">
        <v>0.21200073892282578</v>
      </c>
    </row>
    <row r="3104" spans="2:4" x14ac:dyDescent="0.25">
      <c r="B3104" s="61">
        <v>3071</v>
      </c>
      <c r="C3104" s="61">
        <v>165299.03477013949</v>
      </c>
      <c r="D3104" s="102">
        <v>0.21472100486421097</v>
      </c>
    </row>
    <row r="3105" spans="2:4" x14ac:dyDescent="0.25">
      <c r="B3105" s="61">
        <v>3072</v>
      </c>
      <c r="C3105" s="61">
        <v>209251.35227899556</v>
      </c>
      <c r="D3105" s="102">
        <v>0.26024757597431725</v>
      </c>
    </row>
    <row r="3106" spans="2:4" x14ac:dyDescent="0.25">
      <c r="B3106" s="61">
        <v>3073</v>
      </c>
      <c r="C3106" s="61">
        <v>293697.93939494039</v>
      </c>
      <c r="D3106" s="102">
        <v>0.30112839065964958</v>
      </c>
    </row>
    <row r="3107" spans="2:4" x14ac:dyDescent="0.25">
      <c r="B3107" s="61">
        <v>3074</v>
      </c>
      <c r="C3107" s="61">
        <v>46542.263495803752</v>
      </c>
      <c r="D3107" s="102">
        <v>0.10816433705582762</v>
      </c>
    </row>
    <row r="3108" spans="2:4" x14ac:dyDescent="0.25">
      <c r="B3108" s="61">
        <v>3075</v>
      </c>
      <c r="C3108" s="61">
        <v>302898.0604054312</v>
      </c>
      <c r="D3108" s="102">
        <v>0.33184396387601978</v>
      </c>
    </row>
    <row r="3109" spans="2:4" x14ac:dyDescent="0.25">
      <c r="B3109" s="61">
        <v>3076</v>
      </c>
      <c r="C3109" s="61">
        <v>14863.932832853228</v>
      </c>
      <c r="D3109" s="102">
        <v>7.597583160961574E-2</v>
      </c>
    </row>
    <row r="3110" spans="2:4" x14ac:dyDescent="0.25">
      <c r="B3110" s="61">
        <v>3077</v>
      </c>
      <c r="C3110" s="61">
        <v>170199.50376063702</v>
      </c>
      <c r="D3110" s="102">
        <v>0.22183706681973892</v>
      </c>
    </row>
    <row r="3111" spans="2:4" x14ac:dyDescent="0.25">
      <c r="B3111" s="61">
        <v>3078</v>
      </c>
      <c r="C3111" s="61">
        <v>105159.83086707717</v>
      </c>
      <c r="D3111" s="102">
        <v>0.1436783789219056</v>
      </c>
    </row>
    <row r="3112" spans="2:4" x14ac:dyDescent="0.25">
      <c r="B3112" s="61">
        <v>3079</v>
      </c>
      <c r="C3112" s="61">
        <v>66287.029008094454</v>
      </c>
      <c r="D3112" s="102">
        <v>0.11823244387152143</v>
      </c>
    </row>
    <row r="3113" spans="2:4" x14ac:dyDescent="0.25">
      <c r="B3113" s="61">
        <v>3080</v>
      </c>
      <c r="C3113" s="61">
        <v>236885.31021151936</v>
      </c>
      <c r="D3113" s="102">
        <v>0.24037605519824989</v>
      </c>
    </row>
    <row r="3114" spans="2:4" x14ac:dyDescent="0.25">
      <c r="B3114" s="61">
        <v>3081</v>
      </c>
      <c r="C3114" s="61">
        <v>91207.813517966541</v>
      </c>
      <c r="D3114" s="102">
        <v>0.1348948695055654</v>
      </c>
    </row>
    <row r="3115" spans="2:4" x14ac:dyDescent="0.25">
      <c r="B3115" s="61">
        <v>3082</v>
      </c>
      <c r="C3115" s="61">
        <v>281118.80960481265</v>
      </c>
      <c r="D3115" s="102">
        <v>0.31134594738033594</v>
      </c>
    </row>
    <row r="3116" spans="2:4" x14ac:dyDescent="0.25">
      <c r="B3116" s="61">
        <v>3083</v>
      </c>
      <c r="C3116" s="61">
        <v>248252.51151372038</v>
      </c>
      <c r="D3116" s="102">
        <v>0.25298661353656327</v>
      </c>
    </row>
    <row r="3117" spans="2:4" x14ac:dyDescent="0.25">
      <c r="B3117" s="61">
        <v>3084</v>
      </c>
      <c r="C3117" s="61">
        <v>317855.36981902947</v>
      </c>
      <c r="D3117" s="102">
        <v>0.29422861403960665</v>
      </c>
    </row>
    <row r="3118" spans="2:4" x14ac:dyDescent="0.25">
      <c r="B3118" s="61">
        <v>3085</v>
      </c>
      <c r="C3118" s="61">
        <v>200214.56885764329</v>
      </c>
      <c r="D3118" s="102">
        <v>0.19746752326177686</v>
      </c>
    </row>
    <row r="3119" spans="2:4" x14ac:dyDescent="0.25">
      <c r="B3119" s="61">
        <v>3086</v>
      </c>
      <c r="C3119" s="61">
        <v>491432.85368350428</v>
      </c>
      <c r="D3119" s="102">
        <v>0.39891658983128453</v>
      </c>
    </row>
    <row r="3120" spans="2:4" x14ac:dyDescent="0.25">
      <c r="B3120" s="61">
        <v>3087</v>
      </c>
      <c r="C3120" s="61">
        <v>413188.587063813</v>
      </c>
      <c r="D3120" s="102">
        <v>0.43076079309768778</v>
      </c>
    </row>
    <row r="3121" spans="2:4" x14ac:dyDescent="0.25">
      <c r="B3121" s="61">
        <v>3088</v>
      </c>
      <c r="C3121" s="61">
        <v>158820.33024450263</v>
      </c>
      <c r="D3121" s="102">
        <v>0.21476369331795242</v>
      </c>
    </row>
    <row r="3122" spans="2:4" x14ac:dyDescent="0.25">
      <c r="B3122" s="61">
        <v>3089</v>
      </c>
      <c r="C3122" s="61">
        <v>174379.91376629344</v>
      </c>
      <c r="D3122" s="102">
        <v>0.22048438787546054</v>
      </c>
    </row>
    <row r="3123" spans="2:4" x14ac:dyDescent="0.25">
      <c r="B3123" s="61">
        <v>3090</v>
      </c>
      <c r="C3123" s="61">
        <v>239400.69625041634</v>
      </c>
      <c r="D3123" s="102">
        <v>0.23749470541937479</v>
      </c>
    </row>
    <row r="3124" spans="2:4" x14ac:dyDescent="0.25">
      <c r="B3124" s="61">
        <v>3091</v>
      </c>
      <c r="C3124" s="61">
        <v>76809.344552127586</v>
      </c>
      <c r="D3124" s="102">
        <v>0.1684505694529479</v>
      </c>
    </row>
    <row r="3125" spans="2:4" x14ac:dyDescent="0.25">
      <c r="B3125" s="61">
        <v>3092</v>
      </c>
      <c r="C3125" s="61">
        <v>270915.64615483675</v>
      </c>
      <c r="D3125" s="102">
        <v>0.29404072250635194</v>
      </c>
    </row>
    <row r="3126" spans="2:4" x14ac:dyDescent="0.25">
      <c r="B3126" s="61">
        <v>3093</v>
      </c>
      <c r="C3126" s="61">
        <v>223454.96552459511</v>
      </c>
      <c r="D3126" s="102">
        <v>0.23763564673814286</v>
      </c>
    </row>
    <row r="3127" spans="2:4" x14ac:dyDescent="0.25">
      <c r="B3127" s="61">
        <v>3094</v>
      </c>
      <c r="C3127" s="61">
        <v>352903.69879300206</v>
      </c>
      <c r="D3127" s="102">
        <v>0.31780103481320476</v>
      </c>
    </row>
    <row r="3128" spans="2:4" x14ac:dyDescent="0.25">
      <c r="B3128" s="61">
        <v>3095</v>
      </c>
      <c r="C3128" s="61">
        <v>218853.25513284944</v>
      </c>
      <c r="D3128" s="102">
        <v>0.26842403794359582</v>
      </c>
    </row>
    <row r="3129" spans="2:4" x14ac:dyDescent="0.25">
      <c r="B3129" s="61">
        <v>3096</v>
      </c>
      <c r="C3129" s="61">
        <v>216282.66390447458</v>
      </c>
      <c r="D3129" s="102">
        <v>0.21756817800348016</v>
      </c>
    </row>
    <row r="3130" spans="2:4" x14ac:dyDescent="0.25">
      <c r="B3130" s="61">
        <v>3097</v>
      </c>
      <c r="C3130" s="61">
        <v>77842.634013481671</v>
      </c>
      <c r="D3130" s="102">
        <v>0.12275990503376422</v>
      </c>
    </row>
    <row r="3131" spans="2:4" x14ac:dyDescent="0.25">
      <c r="B3131" s="61">
        <v>3098</v>
      </c>
      <c r="C3131" s="61">
        <v>278423.73804895591</v>
      </c>
      <c r="D3131" s="102">
        <v>0.31247611172463508</v>
      </c>
    </row>
    <row r="3132" spans="2:4" x14ac:dyDescent="0.25">
      <c r="B3132" s="61">
        <v>3099</v>
      </c>
      <c r="C3132" s="61">
        <v>361170.44024239283</v>
      </c>
      <c r="D3132" s="102">
        <v>0.32655090387164365</v>
      </c>
    </row>
    <row r="3133" spans="2:4" x14ac:dyDescent="0.25">
      <c r="B3133" s="61">
        <v>3100</v>
      </c>
      <c r="C3133" s="61">
        <v>516308.3279473373</v>
      </c>
      <c r="D3133" s="102">
        <v>0.4834766294065751</v>
      </c>
    </row>
    <row r="3134" spans="2:4" x14ac:dyDescent="0.25">
      <c r="B3134" s="61">
        <v>3101</v>
      </c>
      <c r="C3134" s="61">
        <v>174335.7422439123</v>
      </c>
      <c r="D3134" s="102">
        <v>0.21994552274637647</v>
      </c>
    </row>
    <row r="3135" spans="2:4" x14ac:dyDescent="0.25">
      <c r="B3135" s="61">
        <v>3102</v>
      </c>
      <c r="C3135" s="61">
        <v>250317.22450272739</v>
      </c>
      <c r="D3135" s="102">
        <v>0.23145926906503278</v>
      </c>
    </row>
    <row r="3136" spans="2:4" x14ac:dyDescent="0.25">
      <c r="B3136" s="61">
        <v>3103</v>
      </c>
      <c r="C3136" s="61">
        <v>348554.14865429071</v>
      </c>
      <c r="D3136" s="102">
        <v>0.34359614382632264</v>
      </c>
    </row>
    <row r="3137" spans="2:4" x14ac:dyDescent="0.25">
      <c r="B3137" s="61">
        <v>3104</v>
      </c>
      <c r="C3137" s="61">
        <v>275995.91296591237</v>
      </c>
      <c r="D3137" s="102">
        <v>0.29742843020280296</v>
      </c>
    </row>
    <row r="3138" spans="2:4" x14ac:dyDescent="0.25">
      <c r="B3138" s="61">
        <v>3105</v>
      </c>
      <c r="C3138" s="61">
        <v>268731.25332328118</v>
      </c>
      <c r="D3138" s="102">
        <v>0.26484143167922891</v>
      </c>
    </row>
    <row r="3139" spans="2:4" x14ac:dyDescent="0.25">
      <c r="B3139" s="61">
        <v>3106</v>
      </c>
      <c r="C3139" s="61">
        <v>390609.00620058598</v>
      </c>
      <c r="D3139" s="102">
        <v>0.3510251030343261</v>
      </c>
    </row>
    <row r="3140" spans="2:4" x14ac:dyDescent="0.25">
      <c r="B3140" s="61">
        <v>3107</v>
      </c>
      <c r="C3140" s="61">
        <v>420490.08743367833</v>
      </c>
      <c r="D3140" s="102">
        <v>0.35863943340478954</v>
      </c>
    </row>
    <row r="3141" spans="2:4" x14ac:dyDescent="0.25">
      <c r="B3141" s="61">
        <v>3108</v>
      </c>
      <c r="C3141" s="61">
        <v>403116.95407582307</v>
      </c>
      <c r="D3141" s="102">
        <v>0.35326374406303751</v>
      </c>
    </row>
    <row r="3142" spans="2:4" x14ac:dyDescent="0.25">
      <c r="B3142" s="61">
        <v>3109</v>
      </c>
      <c r="C3142" s="61">
        <v>328195.5217596622</v>
      </c>
      <c r="D3142" s="102">
        <v>0.30592217360831842</v>
      </c>
    </row>
    <row r="3143" spans="2:4" x14ac:dyDescent="0.25">
      <c r="B3143" s="61">
        <v>3110</v>
      </c>
      <c r="C3143" s="61">
        <v>245409.8637395174</v>
      </c>
      <c r="D3143" s="102">
        <v>0.24311232235410341</v>
      </c>
    </row>
    <row r="3144" spans="2:4" x14ac:dyDescent="0.25">
      <c r="B3144" s="61">
        <v>3111</v>
      </c>
      <c r="C3144" s="61">
        <v>231289.11763010046</v>
      </c>
      <c r="D3144" s="102">
        <v>0.23224952580391611</v>
      </c>
    </row>
    <row r="3145" spans="2:4" x14ac:dyDescent="0.25">
      <c r="B3145" s="61">
        <v>3112</v>
      </c>
      <c r="C3145" s="61">
        <v>328576.86159615696</v>
      </c>
      <c r="D3145" s="102">
        <v>0.3326049500090893</v>
      </c>
    </row>
    <row r="3146" spans="2:4" x14ac:dyDescent="0.25">
      <c r="B3146" s="61">
        <v>3113</v>
      </c>
      <c r="C3146" s="61">
        <v>140910.39602064475</v>
      </c>
      <c r="D3146" s="102">
        <v>0.17613272904482691</v>
      </c>
    </row>
    <row r="3147" spans="2:4" x14ac:dyDescent="0.25">
      <c r="B3147" s="61">
        <v>3114</v>
      </c>
      <c r="C3147" s="61">
        <v>164110.53089779231</v>
      </c>
      <c r="D3147" s="102">
        <v>0.17602038592040614</v>
      </c>
    </row>
    <row r="3148" spans="2:4" x14ac:dyDescent="0.25">
      <c r="B3148" s="61">
        <v>3115</v>
      </c>
      <c r="C3148" s="61">
        <v>102788.65094130783</v>
      </c>
      <c r="D3148" s="102">
        <v>0.16176228688748906</v>
      </c>
    </row>
    <row r="3149" spans="2:4" x14ac:dyDescent="0.25">
      <c r="B3149" s="61">
        <v>3116</v>
      </c>
      <c r="C3149" s="61">
        <v>339237.73747109948</v>
      </c>
      <c r="D3149" s="102">
        <v>0.28190295815825417</v>
      </c>
    </row>
    <row r="3150" spans="2:4" x14ac:dyDescent="0.25">
      <c r="B3150" s="61">
        <v>3117</v>
      </c>
      <c r="C3150" s="61">
        <v>101068.11650946643</v>
      </c>
      <c r="D3150" s="102">
        <v>0.14809900311457014</v>
      </c>
    </row>
    <row r="3151" spans="2:4" x14ac:dyDescent="0.25">
      <c r="B3151" s="61">
        <v>3118</v>
      </c>
      <c r="C3151" s="61">
        <v>248300.30621094559</v>
      </c>
      <c r="D3151" s="102">
        <v>0.25219813453301509</v>
      </c>
    </row>
    <row r="3152" spans="2:4" x14ac:dyDescent="0.25">
      <c r="B3152" s="61">
        <v>3119</v>
      </c>
      <c r="C3152" s="61">
        <v>262552.14122717734</v>
      </c>
      <c r="D3152" s="102">
        <v>0.35100489175832017</v>
      </c>
    </row>
    <row r="3153" spans="2:4" x14ac:dyDescent="0.25">
      <c r="B3153" s="61">
        <v>3120</v>
      </c>
      <c r="C3153" s="61">
        <v>234774.14556516847</v>
      </c>
      <c r="D3153" s="102">
        <v>0.23486943229297985</v>
      </c>
    </row>
    <row r="3154" spans="2:4" x14ac:dyDescent="0.25">
      <c r="B3154" s="61">
        <v>3121</v>
      </c>
      <c r="C3154" s="61">
        <v>251252.61644262983</v>
      </c>
      <c r="D3154" s="102">
        <v>0.25028607632966704</v>
      </c>
    </row>
    <row r="3155" spans="2:4" x14ac:dyDescent="0.25">
      <c r="B3155" s="61">
        <v>3122</v>
      </c>
      <c r="C3155" s="61">
        <v>357310.17994865368</v>
      </c>
      <c r="D3155" s="102">
        <v>0.33449640925055113</v>
      </c>
    </row>
    <row r="3156" spans="2:4" x14ac:dyDescent="0.25">
      <c r="B3156" s="61">
        <v>3123</v>
      </c>
      <c r="C3156" s="61">
        <v>238986.17851133179</v>
      </c>
      <c r="D3156" s="102">
        <v>0.26721386399000058</v>
      </c>
    </row>
    <row r="3157" spans="2:4" x14ac:dyDescent="0.25">
      <c r="B3157" s="61">
        <v>3124</v>
      </c>
      <c r="C3157" s="61">
        <v>256355.44592618244</v>
      </c>
      <c r="D3157" s="102">
        <v>0.26023709349849056</v>
      </c>
    </row>
    <row r="3158" spans="2:4" x14ac:dyDescent="0.25">
      <c r="B3158" s="61">
        <v>3125</v>
      </c>
      <c r="C3158" s="61">
        <v>193343.2541575951</v>
      </c>
      <c r="D3158" s="102">
        <v>0.27719265800606507</v>
      </c>
    </row>
    <row r="3159" spans="2:4" x14ac:dyDescent="0.25">
      <c r="B3159" s="61">
        <v>3126</v>
      </c>
      <c r="C3159" s="61">
        <v>243032.7898760665</v>
      </c>
      <c r="D3159" s="102">
        <v>0.25143351730912378</v>
      </c>
    </row>
    <row r="3160" spans="2:4" x14ac:dyDescent="0.25">
      <c r="B3160" s="61">
        <v>3127</v>
      </c>
      <c r="C3160" s="61">
        <v>247038.00999780267</v>
      </c>
      <c r="D3160" s="102">
        <v>0.20459211749788153</v>
      </c>
    </row>
    <row r="3161" spans="2:4" x14ac:dyDescent="0.25">
      <c r="B3161" s="61">
        <v>3128</v>
      </c>
      <c r="C3161" s="61">
        <v>362987.9430282939</v>
      </c>
      <c r="D3161" s="102">
        <v>0.31328309710380964</v>
      </c>
    </row>
    <row r="3162" spans="2:4" x14ac:dyDescent="0.25">
      <c r="B3162" s="61">
        <v>3129</v>
      </c>
      <c r="C3162" s="61">
        <v>314534.18227629352</v>
      </c>
      <c r="D3162" s="102">
        <v>0.31846826948439899</v>
      </c>
    </row>
    <row r="3163" spans="2:4" x14ac:dyDescent="0.25">
      <c r="B3163" s="61">
        <v>3130</v>
      </c>
      <c r="C3163" s="61">
        <v>163369.59881284193</v>
      </c>
      <c r="D3163" s="102">
        <v>0.19378684107039179</v>
      </c>
    </row>
    <row r="3164" spans="2:4" x14ac:dyDescent="0.25">
      <c r="B3164" s="61">
        <v>3131</v>
      </c>
      <c r="C3164" s="61">
        <v>186348.73226261989</v>
      </c>
      <c r="D3164" s="102">
        <v>0.22416274322566099</v>
      </c>
    </row>
    <row r="3165" spans="2:4" x14ac:dyDescent="0.25">
      <c r="B3165" s="61">
        <v>3132</v>
      </c>
      <c r="C3165" s="61">
        <v>310243.1434806434</v>
      </c>
      <c r="D3165" s="102">
        <v>0.26386191020684802</v>
      </c>
    </row>
    <row r="3166" spans="2:4" x14ac:dyDescent="0.25">
      <c r="B3166" s="61">
        <v>3133</v>
      </c>
      <c r="C3166" s="61">
        <v>234754.86382016214</v>
      </c>
      <c r="D3166" s="102">
        <v>0.24275878271916906</v>
      </c>
    </row>
    <row r="3167" spans="2:4" x14ac:dyDescent="0.25">
      <c r="B3167" s="61">
        <v>3134</v>
      </c>
      <c r="C3167" s="61">
        <v>212312.25429013732</v>
      </c>
      <c r="D3167" s="102">
        <v>0.24819835580150174</v>
      </c>
    </row>
    <row r="3168" spans="2:4" x14ac:dyDescent="0.25">
      <c r="B3168" s="61">
        <v>3135</v>
      </c>
      <c r="C3168" s="61">
        <v>114229.7957290776</v>
      </c>
      <c r="D3168" s="102">
        <v>0.17698446379306931</v>
      </c>
    </row>
    <row r="3169" spans="2:4" x14ac:dyDescent="0.25">
      <c r="B3169" s="61">
        <v>3136</v>
      </c>
      <c r="C3169" s="61">
        <v>128443.34535902628</v>
      </c>
      <c r="D3169" s="102">
        <v>0.16923241796429123</v>
      </c>
    </row>
    <row r="3170" spans="2:4" x14ac:dyDescent="0.25">
      <c r="B3170" s="61">
        <v>3137</v>
      </c>
      <c r="C3170" s="61">
        <v>109670.73525879357</v>
      </c>
      <c r="D3170" s="102">
        <v>0.14211623280209329</v>
      </c>
    </row>
    <row r="3171" spans="2:4" x14ac:dyDescent="0.25">
      <c r="B3171" s="61">
        <v>3138</v>
      </c>
      <c r="C3171" s="61">
        <v>544680.05461248534</v>
      </c>
      <c r="D3171" s="102">
        <v>0.39077221564167308</v>
      </c>
    </row>
    <row r="3172" spans="2:4" x14ac:dyDescent="0.25">
      <c r="B3172" s="61">
        <v>3139</v>
      </c>
      <c r="C3172" s="61">
        <v>64819.354650262452</v>
      </c>
      <c r="D3172" s="102">
        <v>0.12424428363281526</v>
      </c>
    </row>
    <row r="3173" spans="2:4" x14ac:dyDescent="0.25">
      <c r="B3173" s="61">
        <v>3140</v>
      </c>
      <c r="C3173" s="61">
        <v>381503.00863867346</v>
      </c>
      <c r="D3173" s="102">
        <v>0.31455580222934554</v>
      </c>
    </row>
    <row r="3174" spans="2:4" x14ac:dyDescent="0.25">
      <c r="B3174" s="61">
        <v>3141</v>
      </c>
      <c r="C3174" s="61">
        <v>246360.49045274651</v>
      </c>
      <c r="D3174" s="102">
        <v>0.24625128013440745</v>
      </c>
    </row>
    <row r="3175" spans="2:4" x14ac:dyDescent="0.25">
      <c r="B3175" s="61">
        <v>3142</v>
      </c>
      <c r="C3175" s="61">
        <v>273884.21283974173</v>
      </c>
      <c r="D3175" s="102">
        <v>0.26930050450509602</v>
      </c>
    </row>
    <row r="3176" spans="2:4" x14ac:dyDescent="0.25">
      <c r="B3176" s="61">
        <v>3143</v>
      </c>
      <c r="C3176" s="61">
        <v>177707.28629657335</v>
      </c>
      <c r="D3176" s="102">
        <v>0.21811378721688879</v>
      </c>
    </row>
    <row r="3177" spans="2:4" x14ac:dyDescent="0.25">
      <c r="B3177" s="61">
        <v>3144</v>
      </c>
      <c r="C3177" s="61">
        <v>304067.94825242844</v>
      </c>
      <c r="D3177" s="102">
        <v>0.35077130649730748</v>
      </c>
    </row>
    <row r="3178" spans="2:4" x14ac:dyDescent="0.25">
      <c r="B3178" s="61">
        <v>3145</v>
      </c>
      <c r="C3178" s="61">
        <v>320525.18486210587</v>
      </c>
      <c r="D3178" s="102">
        <v>0.2963506753953502</v>
      </c>
    </row>
    <row r="3179" spans="2:4" x14ac:dyDescent="0.25">
      <c r="B3179" s="61">
        <v>3146</v>
      </c>
      <c r="C3179" s="61">
        <v>384432.61198356352</v>
      </c>
      <c r="D3179" s="102">
        <v>0.36606307341554212</v>
      </c>
    </row>
    <row r="3180" spans="2:4" x14ac:dyDescent="0.25">
      <c r="B3180" s="61">
        <v>3147</v>
      </c>
      <c r="C3180" s="61">
        <v>-30835.187882294296</v>
      </c>
      <c r="D3180" s="102">
        <v>3.813799533820017E-2</v>
      </c>
    </row>
    <row r="3181" spans="2:4" x14ac:dyDescent="0.25">
      <c r="B3181" s="61">
        <v>3148</v>
      </c>
      <c r="C3181" s="61">
        <v>266307.53815056465</v>
      </c>
      <c r="D3181" s="102">
        <v>0.28210290898890489</v>
      </c>
    </row>
    <row r="3182" spans="2:4" x14ac:dyDescent="0.25">
      <c r="B3182" s="61">
        <v>3149</v>
      </c>
      <c r="C3182" s="61">
        <v>283342.69597911485</v>
      </c>
      <c r="D3182" s="102">
        <v>0.26289461279181836</v>
      </c>
    </row>
    <row r="3183" spans="2:4" x14ac:dyDescent="0.25">
      <c r="B3183" s="61">
        <v>3150</v>
      </c>
      <c r="C3183" s="61">
        <v>8666.6532296102378</v>
      </c>
      <c r="D3183" s="102">
        <v>7.1829937676889166E-2</v>
      </c>
    </row>
    <row r="3184" spans="2:4" x14ac:dyDescent="0.25">
      <c r="B3184" s="61">
        <v>3151</v>
      </c>
      <c r="C3184" s="61">
        <v>316742.42218443519</v>
      </c>
      <c r="D3184" s="102">
        <v>0.30562662528573425</v>
      </c>
    </row>
    <row r="3185" spans="2:4" x14ac:dyDescent="0.25">
      <c r="B3185" s="61">
        <v>3152</v>
      </c>
      <c r="C3185" s="61">
        <v>-18558.734722723661</v>
      </c>
      <c r="D3185" s="102">
        <v>4.4397971972479189E-2</v>
      </c>
    </row>
    <row r="3186" spans="2:4" x14ac:dyDescent="0.25">
      <c r="B3186" s="61">
        <v>3153</v>
      </c>
      <c r="C3186" s="61">
        <v>233931.39432014991</v>
      </c>
      <c r="D3186" s="102">
        <v>0.26290219453353458</v>
      </c>
    </row>
    <row r="3187" spans="2:4" x14ac:dyDescent="0.25">
      <c r="B3187" s="61">
        <v>3154</v>
      </c>
      <c r="C3187" s="61">
        <v>304825.67149961169</v>
      </c>
      <c r="D3187" s="102">
        <v>0.2396984780671676</v>
      </c>
    </row>
    <row r="3188" spans="2:4" x14ac:dyDescent="0.25">
      <c r="B3188" s="61">
        <v>3155</v>
      </c>
      <c r="C3188" s="61">
        <v>324968.04404553887</v>
      </c>
      <c r="D3188" s="102">
        <v>0.3057243449132403</v>
      </c>
    </row>
    <row r="3189" spans="2:4" x14ac:dyDescent="0.25">
      <c r="B3189" s="61">
        <v>3156</v>
      </c>
      <c r="C3189" s="61">
        <v>279862.84466105537</v>
      </c>
      <c r="D3189" s="102">
        <v>0.26657138954825621</v>
      </c>
    </row>
    <row r="3190" spans="2:4" x14ac:dyDescent="0.25">
      <c r="B3190" s="61">
        <v>3157</v>
      </c>
      <c r="C3190" s="61">
        <v>321180.7725257203</v>
      </c>
      <c r="D3190" s="102">
        <v>0.32860793452178294</v>
      </c>
    </row>
    <row r="3191" spans="2:4" x14ac:dyDescent="0.25">
      <c r="B3191" s="61">
        <v>3158</v>
      </c>
      <c r="C3191" s="61">
        <v>259265.91357242223</v>
      </c>
      <c r="D3191" s="102">
        <v>0.26991950943153165</v>
      </c>
    </row>
    <row r="3192" spans="2:4" x14ac:dyDescent="0.25">
      <c r="B3192" s="61">
        <v>3159</v>
      </c>
      <c r="C3192" s="61">
        <v>154926.31231935439</v>
      </c>
      <c r="D3192" s="102">
        <v>0.22312166472900263</v>
      </c>
    </row>
    <row r="3193" spans="2:4" x14ac:dyDescent="0.25">
      <c r="B3193" s="61">
        <v>3160</v>
      </c>
      <c r="C3193" s="61">
        <v>295618.85410980356</v>
      </c>
      <c r="D3193" s="102">
        <v>0.26369997692767089</v>
      </c>
    </row>
    <row r="3194" spans="2:4" x14ac:dyDescent="0.25">
      <c r="B3194" s="61">
        <v>3161</v>
      </c>
      <c r="C3194" s="61">
        <v>540435.79231784283</v>
      </c>
      <c r="D3194" s="102">
        <v>0.48353093441362716</v>
      </c>
    </row>
    <row r="3195" spans="2:4" x14ac:dyDescent="0.25">
      <c r="B3195" s="61">
        <v>3162</v>
      </c>
      <c r="C3195" s="61">
        <v>241481.3311207816</v>
      </c>
      <c r="D3195" s="102">
        <v>0.22016007346597144</v>
      </c>
    </row>
    <row r="3196" spans="2:4" x14ac:dyDescent="0.25">
      <c r="B3196" s="61">
        <v>3163</v>
      </c>
      <c r="C3196" s="61">
        <v>121765.22888563765</v>
      </c>
      <c r="D3196" s="102">
        <v>0.16768072238164167</v>
      </c>
    </row>
    <row r="3197" spans="2:4" x14ac:dyDescent="0.25">
      <c r="B3197" s="61">
        <v>3164</v>
      </c>
      <c r="C3197" s="61">
        <v>194991.11874655529</v>
      </c>
      <c r="D3197" s="102">
        <v>0.17973929841248171</v>
      </c>
    </row>
    <row r="3198" spans="2:4" x14ac:dyDescent="0.25">
      <c r="B3198" s="61">
        <v>3165</v>
      </c>
      <c r="C3198" s="61">
        <v>405009.38533655973</v>
      </c>
      <c r="D3198" s="102">
        <v>0.35982085354677729</v>
      </c>
    </row>
    <row r="3199" spans="2:4" x14ac:dyDescent="0.25">
      <c r="B3199" s="61">
        <v>3166</v>
      </c>
      <c r="C3199" s="61">
        <v>194565.22920037783</v>
      </c>
      <c r="D3199" s="102">
        <v>0.24191138110131072</v>
      </c>
    </row>
    <row r="3200" spans="2:4" x14ac:dyDescent="0.25">
      <c r="B3200" s="61">
        <v>3167</v>
      </c>
      <c r="C3200" s="61">
        <v>353577.24046040268</v>
      </c>
      <c r="D3200" s="102">
        <v>0.33855324736030523</v>
      </c>
    </row>
    <row r="3201" spans="2:4" x14ac:dyDescent="0.25">
      <c r="B3201" s="61">
        <v>3168</v>
      </c>
      <c r="C3201" s="61">
        <v>321453.86493041122</v>
      </c>
      <c r="D3201" s="102">
        <v>0.39461751940342737</v>
      </c>
    </row>
    <row r="3202" spans="2:4" x14ac:dyDescent="0.25">
      <c r="B3202" s="61">
        <v>3169</v>
      </c>
      <c r="C3202" s="61">
        <v>140493.91664769023</v>
      </c>
      <c r="D3202" s="102">
        <v>0.19400698728694921</v>
      </c>
    </row>
    <row r="3203" spans="2:4" x14ac:dyDescent="0.25">
      <c r="B3203" s="61">
        <v>3170</v>
      </c>
      <c r="C3203" s="61">
        <v>349418.74689159088</v>
      </c>
      <c r="D3203" s="102">
        <v>0.34490894138835726</v>
      </c>
    </row>
    <row r="3204" spans="2:4" x14ac:dyDescent="0.25">
      <c r="B3204" s="61">
        <v>3171</v>
      </c>
      <c r="C3204" s="61">
        <v>455093.91136697039</v>
      </c>
      <c r="D3204" s="102">
        <v>0.46526882730952757</v>
      </c>
    </row>
    <row r="3205" spans="2:4" x14ac:dyDescent="0.25">
      <c r="B3205" s="61">
        <v>3172</v>
      </c>
      <c r="C3205" s="61">
        <v>378114.64921254746</v>
      </c>
      <c r="D3205" s="102">
        <v>0.37284635213219142</v>
      </c>
    </row>
    <row r="3206" spans="2:4" x14ac:dyDescent="0.25">
      <c r="B3206" s="61">
        <v>3173</v>
      </c>
      <c r="C3206" s="61">
        <v>252449.07070420997</v>
      </c>
      <c r="D3206" s="102">
        <v>0.26173047244696823</v>
      </c>
    </row>
    <row r="3207" spans="2:4" x14ac:dyDescent="0.25">
      <c r="B3207" s="61">
        <v>3174</v>
      </c>
      <c r="C3207" s="61">
        <v>254852.65102595207</v>
      </c>
      <c r="D3207" s="102">
        <v>0.26638820768696014</v>
      </c>
    </row>
    <row r="3208" spans="2:4" x14ac:dyDescent="0.25">
      <c r="B3208" s="61">
        <v>3175</v>
      </c>
      <c r="C3208" s="61">
        <v>135179.44612650265</v>
      </c>
      <c r="D3208" s="102">
        <v>0.15714689536215753</v>
      </c>
    </row>
    <row r="3209" spans="2:4" x14ac:dyDescent="0.25">
      <c r="B3209" s="61">
        <v>3176</v>
      </c>
      <c r="C3209" s="61">
        <v>139397.63297614665</v>
      </c>
      <c r="D3209" s="102">
        <v>0.18945720207759575</v>
      </c>
    </row>
    <row r="3210" spans="2:4" x14ac:dyDescent="0.25">
      <c r="B3210" s="61">
        <v>3177</v>
      </c>
      <c r="C3210" s="61">
        <v>268372.2788130485</v>
      </c>
      <c r="D3210" s="102">
        <v>0.26964815853621471</v>
      </c>
    </row>
    <row r="3211" spans="2:4" x14ac:dyDescent="0.25">
      <c r="B3211" s="61">
        <v>3178</v>
      </c>
      <c r="C3211" s="61">
        <v>355109.6981608232</v>
      </c>
      <c r="D3211" s="102">
        <v>0.32861022895968395</v>
      </c>
    </row>
    <row r="3212" spans="2:4" x14ac:dyDescent="0.25">
      <c r="B3212" s="61">
        <v>3179</v>
      </c>
      <c r="C3212" s="61">
        <v>450973.70110740163</v>
      </c>
      <c r="D3212" s="102">
        <v>0.45696793780779266</v>
      </c>
    </row>
    <row r="3213" spans="2:4" x14ac:dyDescent="0.25">
      <c r="B3213" s="61">
        <v>3180</v>
      </c>
      <c r="C3213" s="61">
        <v>212617.55947222072</v>
      </c>
      <c r="D3213" s="102">
        <v>0.21369237768773264</v>
      </c>
    </row>
    <row r="3214" spans="2:4" x14ac:dyDescent="0.25">
      <c r="B3214" s="61">
        <v>3181</v>
      </c>
      <c r="C3214" s="61">
        <v>269801.43008285575</v>
      </c>
      <c r="D3214" s="102">
        <v>0.29665740712200495</v>
      </c>
    </row>
    <row r="3215" spans="2:4" x14ac:dyDescent="0.25">
      <c r="B3215" s="61">
        <v>3182</v>
      </c>
      <c r="C3215" s="61">
        <v>415630.91968326655</v>
      </c>
      <c r="D3215" s="102">
        <v>0.41354952823547864</v>
      </c>
    </row>
    <row r="3216" spans="2:4" x14ac:dyDescent="0.25">
      <c r="B3216" s="61">
        <v>3183</v>
      </c>
      <c r="C3216" s="61">
        <v>246631.58216213738</v>
      </c>
      <c r="D3216" s="102">
        <v>0.23350288775311534</v>
      </c>
    </row>
    <row r="3217" spans="2:4" x14ac:dyDescent="0.25">
      <c r="B3217" s="61">
        <v>3184</v>
      </c>
      <c r="C3217" s="61">
        <v>352277.66404062277</v>
      </c>
      <c r="D3217" s="102">
        <v>0.34371308525589583</v>
      </c>
    </row>
    <row r="3218" spans="2:4" x14ac:dyDescent="0.25">
      <c r="B3218" s="61">
        <v>3185</v>
      </c>
      <c r="C3218" s="61">
        <v>243705.43616497691</v>
      </c>
      <c r="D3218" s="102">
        <v>0.25989733079668342</v>
      </c>
    </row>
    <row r="3219" spans="2:4" x14ac:dyDescent="0.25">
      <c r="B3219" s="61">
        <v>3186</v>
      </c>
      <c r="C3219" s="61">
        <v>249830.31529103732</v>
      </c>
      <c r="D3219" s="102">
        <v>0.27718265976614553</v>
      </c>
    </row>
    <row r="3220" spans="2:4" x14ac:dyDescent="0.25">
      <c r="B3220" s="61">
        <v>3187</v>
      </c>
      <c r="C3220" s="61">
        <v>272664.84840785176</v>
      </c>
      <c r="D3220" s="102">
        <v>0.25403111570988024</v>
      </c>
    </row>
    <row r="3221" spans="2:4" x14ac:dyDescent="0.25">
      <c r="B3221" s="61">
        <v>3188</v>
      </c>
      <c r="C3221" s="61">
        <v>169765.97938015161</v>
      </c>
      <c r="D3221" s="102">
        <v>0.25013543383480119</v>
      </c>
    </row>
    <row r="3222" spans="2:4" x14ac:dyDescent="0.25">
      <c r="B3222" s="61">
        <v>3189</v>
      </c>
      <c r="C3222" s="61">
        <v>211893.83797217719</v>
      </c>
      <c r="D3222" s="102">
        <v>0.20880833691896727</v>
      </c>
    </row>
    <row r="3223" spans="2:4" x14ac:dyDescent="0.25">
      <c r="B3223" s="61">
        <v>3190</v>
      </c>
      <c r="C3223" s="61">
        <v>141752.6158740088</v>
      </c>
      <c r="D3223" s="102">
        <v>0.15545475378944085</v>
      </c>
    </row>
    <row r="3224" spans="2:4" x14ac:dyDescent="0.25">
      <c r="B3224" s="61">
        <v>3191</v>
      </c>
      <c r="C3224" s="61">
        <v>259042.2990713442</v>
      </c>
      <c r="D3224" s="102">
        <v>0.33068264843666295</v>
      </c>
    </row>
    <row r="3225" spans="2:4" x14ac:dyDescent="0.25">
      <c r="B3225" s="61">
        <v>3192</v>
      </c>
      <c r="C3225" s="61">
        <v>253556.4096489544</v>
      </c>
      <c r="D3225" s="102">
        <v>0.27301830392376059</v>
      </c>
    </row>
    <row r="3226" spans="2:4" x14ac:dyDescent="0.25">
      <c r="B3226" s="61">
        <v>3193</v>
      </c>
      <c r="C3226" s="61">
        <v>164439.24660709372</v>
      </c>
      <c r="D3226" s="102">
        <v>0.20204171593971498</v>
      </c>
    </row>
    <row r="3227" spans="2:4" x14ac:dyDescent="0.25">
      <c r="B3227" s="61">
        <v>3194</v>
      </c>
      <c r="C3227" s="61">
        <v>382310.93715100689</v>
      </c>
      <c r="D3227" s="102">
        <v>0.34845924633885406</v>
      </c>
    </row>
    <row r="3228" spans="2:4" x14ac:dyDescent="0.25">
      <c r="B3228" s="61">
        <v>3195</v>
      </c>
      <c r="C3228" s="61">
        <v>165449.32925389044</v>
      </c>
      <c r="D3228" s="102">
        <v>0.18582855237306606</v>
      </c>
    </row>
    <row r="3229" spans="2:4" x14ac:dyDescent="0.25">
      <c r="B3229" s="61">
        <v>3196</v>
      </c>
      <c r="C3229" s="61">
        <v>112522.62188980321</v>
      </c>
      <c r="D3229" s="102">
        <v>0.17707385023020827</v>
      </c>
    </row>
    <row r="3230" spans="2:4" x14ac:dyDescent="0.25">
      <c r="B3230" s="61">
        <v>3197</v>
      </c>
      <c r="C3230" s="61">
        <v>232904.46004082728</v>
      </c>
      <c r="D3230" s="102">
        <v>0.24435547098811372</v>
      </c>
    </row>
    <row r="3231" spans="2:4" x14ac:dyDescent="0.25">
      <c r="B3231" s="61">
        <v>3198</v>
      </c>
      <c r="C3231" s="61">
        <v>221587.43595585157</v>
      </c>
      <c r="D3231" s="102">
        <v>0.22045816969584475</v>
      </c>
    </row>
    <row r="3232" spans="2:4" x14ac:dyDescent="0.25">
      <c r="B3232" s="61">
        <v>3199</v>
      </c>
      <c r="C3232" s="61">
        <v>242221.42845675966</v>
      </c>
      <c r="D3232" s="102">
        <v>0.27158077093393773</v>
      </c>
    </row>
    <row r="3233" spans="2:4" x14ac:dyDescent="0.25">
      <c r="B3233" s="61">
        <v>3200</v>
      </c>
      <c r="C3233" s="61">
        <v>349305.13435016165</v>
      </c>
      <c r="D3233" s="102">
        <v>0.32240991333568747</v>
      </c>
    </row>
    <row r="3234" spans="2:4" x14ac:dyDescent="0.25">
      <c r="B3234" s="61">
        <v>3201</v>
      </c>
      <c r="C3234" s="61">
        <v>195658.09667760204</v>
      </c>
      <c r="D3234" s="102">
        <v>0.20534645824116771</v>
      </c>
    </row>
    <row r="3235" spans="2:4" x14ac:dyDescent="0.25">
      <c r="B3235" s="61">
        <v>3202</v>
      </c>
      <c r="C3235" s="61">
        <v>351957.03920524858</v>
      </c>
      <c r="D3235" s="102">
        <v>0.31779925311516943</v>
      </c>
    </row>
    <row r="3236" spans="2:4" x14ac:dyDescent="0.25">
      <c r="B3236" s="61">
        <v>3203</v>
      </c>
      <c r="C3236" s="61">
        <v>285053.9722697878</v>
      </c>
      <c r="D3236" s="102">
        <v>0.24697673338771309</v>
      </c>
    </row>
    <row r="3237" spans="2:4" x14ac:dyDescent="0.25">
      <c r="B3237" s="61">
        <v>3204</v>
      </c>
      <c r="C3237" s="61">
        <v>237482.51679018524</v>
      </c>
      <c r="D3237" s="102">
        <v>0.24825252638991291</v>
      </c>
    </row>
    <row r="3238" spans="2:4" x14ac:dyDescent="0.25">
      <c r="B3238" s="61">
        <v>3205</v>
      </c>
      <c r="C3238" s="61">
        <v>390215.94260224933</v>
      </c>
      <c r="D3238" s="102">
        <v>0.35144871920738385</v>
      </c>
    </row>
    <row r="3239" spans="2:4" x14ac:dyDescent="0.25">
      <c r="B3239" s="61">
        <v>3206</v>
      </c>
      <c r="C3239" s="61">
        <v>302956.13781733485</v>
      </c>
      <c r="D3239" s="102">
        <v>0.3065039712145039</v>
      </c>
    </row>
    <row r="3240" spans="2:4" x14ac:dyDescent="0.25">
      <c r="B3240" s="61">
        <v>3207</v>
      </c>
      <c r="C3240" s="61">
        <v>139489.92423227767</v>
      </c>
      <c r="D3240" s="102">
        <v>0.17196621968229353</v>
      </c>
    </row>
    <row r="3241" spans="2:4" x14ac:dyDescent="0.25">
      <c r="B3241" s="61">
        <v>3208</v>
      </c>
      <c r="C3241" s="61">
        <v>148774.87904401153</v>
      </c>
      <c r="D3241" s="102">
        <v>0.22251846374086326</v>
      </c>
    </row>
    <row r="3242" spans="2:4" x14ac:dyDescent="0.25">
      <c r="B3242" s="61">
        <v>3209</v>
      </c>
      <c r="C3242" s="61">
        <v>340934.26400759432</v>
      </c>
      <c r="D3242" s="102">
        <v>0.29521238785302861</v>
      </c>
    </row>
    <row r="3243" spans="2:4" x14ac:dyDescent="0.25">
      <c r="B3243" s="61">
        <v>3210</v>
      </c>
      <c r="C3243" s="61">
        <v>346715.83329300513</v>
      </c>
      <c r="D3243" s="102">
        <v>0.32261601365717918</v>
      </c>
    </row>
    <row r="3244" spans="2:4" x14ac:dyDescent="0.25">
      <c r="B3244" s="61">
        <v>3211</v>
      </c>
      <c r="C3244" s="61">
        <v>506853.17444633122</v>
      </c>
      <c r="D3244" s="102">
        <v>0.43203777570670243</v>
      </c>
    </row>
    <row r="3245" spans="2:4" x14ac:dyDescent="0.25">
      <c r="B3245" s="61">
        <v>3212</v>
      </c>
      <c r="C3245" s="61">
        <v>-48803.094252256327</v>
      </c>
      <c r="D3245" s="102">
        <v>1.9871728076675588E-2</v>
      </c>
    </row>
    <row r="3246" spans="2:4" x14ac:dyDescent="0.25">
      <c r="B3246" s="61">
        <v>3213</v>
      </c>
      <c r="C3246" s="61">
        <v>302129.34959141572</v>
      </c>
      <c r="D3246" s="102">
        <v>0.31416746043507326</v>
      </c>
    </row>
    <row r="3247" spans="2:4" x14ac:dyDescent="0.25">
      <c r="B3247" s="61">
        <v>3214</v>
      </c>
      <c r="C3247" s="61">
        <v>210900.1944263461</v>
      </c>
      <c r="D3247" s="102">
        <v>0.19911026614513516</v>
      </c>
    </row>
    <row r="3248" spans="2:4" x14ac:dyDescent="0.25">
      <c r="B3248" s="61">
        <v>3215</v>
      </c>
      <c r="C3248" s="61">
        <v>152032.66272227757</v>
      </c>
      <c r="D3248" s="102">
        <v>0.18437734818104423</v>
      </c>
    </row>
    <row r="3249" spans="2:4" x14ac:dyDescent="0.25">
      <c r="B3249" s="61">
        <v>3216</v>
      </c>
      <c r="C3249" s="61">
        <v>153351.40349932975</v>
      </c>
      <c r="D3249" s="102">
        <v>0.17951825639536567</v>
      </c>
    </row>
    <row r="3250" spans="2:4" x14ac:dyDescent="0.25">
      <c r="B3250" s="61">
        <v>3217</v>
      </c>
      <c r="C3250" s="61">
        <v>359955.20840984501</v>
      </c>
      <c r="D3250" s="102">
        <v>0.37681038496277175</v>
      </c>
    </row>
    <row r="3251" spans="2:4" x14ac:dyDescent="0.25">
      <c r="B3251" s="61">
        <v>3218</v>
      </c>
      <c r="C3251" s="61">
        <v>124423.20750536775</v>
      </c>
      <c r="D3251" s="102">
        <v>0.16502685195528821</v>
      </c>
    </row>
    <row r="3252" spans="2:4" x14ac:dyDescent="0.25">
      <c r="B3252" s="61">
        <v>3219</v>
      </c>
      <c r="C3252" s="61">
        <v>326382.47550055955</v>
      </c>
      <c r="D3252" s="102">
        <v>0.29573460652123029</v>
      </c>
    </row>
    <row r="3253" spans="2:4" x14ac:dyDescent="0.25">
      <c r="B3253" s="61">
        <v>3220</v>
      </c>
      <c r="C3253" s="61">
        <v>7545.1410906897509</v>
      </c>
      <c r="D3253" s="102">
        <v>7.1254692087731719E-2</v>
      </c>
    </row>
    <row r="3254" spans="2:4" x14ac:dyDescent="0.25">
      <c r="B3254" s="61">
        <v>3221</v>
      </c>
      <c r="C3254" s="61">
        <v>211396.45412507653</v>
      </c>
      <c r="D3254" s="102">
        <v>0.27042891295089722</v>
      </c>
    </row>
    <row r="3255" spans="2:4" x14ac:dyDescent="0.25">
      <c r="B3255" s="61">
        <v>3222</v>
      </c>
      <c r="C3255" s="61">
        <v>309800.01876817411</v>
      </c>
      <c r="D3255" s="102">
        <v>0.23748612813489678</v>
      </c>
    </row>
    <row r="3256" spans="2:4" x14ac:dyDescent="0.25">
      <c r="B3256" s="61">
        <v>3223</v>
      </c>
      <c r="C3256" s="61">
        <v>219136.24349154602</v>
      </c>
      <c r="D3256" s="102">
        <v>0.24911420433009734</v>
      </c>
    </row>
    <row r="3257" spans="2:4" x14ac:dyDescent="0.25">
      <c r="B3257" s="61">
        <v>3224</v>
      </c>
      <c r="C3257" s="61">
        <v>375737.01381264592</v>
      </c>
      <c r="D3257" s="102">
        <v>0.29675175111139973</v>
      </c>
    </row>
    <row r="3258" spans="2:4" x14ac:dyDescent="0.25">
      <c r="B3258" s="61">
        <v>3225</v>
      </c>
      <c r="C3258" s="61">
        <v>294030.19517702435</v>
      </c>
      <c r="D3258" s="102">
        <v>0.30165400200580672</v>
      </c>
    </row>
    <row r="3259" spans="2:4" x14ac:dyDescent="0.25">
      <c r="B3259" s="61">
        <v>3226</v>
      </c>
      <c r="C3259" s="61">
        <v>166210.16281665361</v>
      </c>
      <c r="D3259" s="102">
        <v>0.25184067521625964</v>
      </c>
    </row>
    <row r="3260" spans="2:4" x14ac:dyDescent="0.25">
      <c r="B3260" s="61">
        <v>3227</v>
      </c>
      <c r="C3260" s="61">
        <v>283242.36643622105</v>
      </c>
      <c r="D3260" s="102">
        <v>0.29145287688153143</v>
      </c>
    </row>
    <row r="3261" spans="2:4" x14ac:dyDescent="0.25">
      <c r="B3261" s="61">
        <v>3228</v>
      </c>
      <c r="C3261" s="61">
        <v>410559.45120264485</v>
      </c>
      <c r="D3261" s="102">
        <v>0.43182418198280859</v>
      </c>
    </row>
    <row r="3262" spans="2:4" x14ac:dyDescent="0.25">
      <c r="B3262" s="61">
        <v>3229</v>
      </c>
      <c r="C3262" s="61">
        <v>108256.74137503526</v>
      </c>
      <c r="D3262" s="102">
        <v>0.15930827019667904</v>
      </c>
    </row>
    <row r="3263" spans="2:4" x14ac:dyDescent="0.25">
      <c r="B3263" s="61">
        <v>3230</v>
      </c>
      <c r="C3263" s="61">
        <v>342470.10529165622</v>
      </c>
      <c r="D3263" s="102">
        <v>0.36365959231903666</v>
      </c>
    </row>
    <row r="3264" spans="2:4" x14ac:dyDescent="0.25">
      <c r="B3264" s="61">
        <v>3231</v>
      </c>
      <c r="C3264" s="61">
        <v>260408.18596846401</v>
      </c>
      <c r="D3264" s="102">
        <v>0.26872669374714198</v>
      </c>
    </row>
    <row r="3265" spans="2:4" x14ac:dyDescent="0.25">
      <c r="B3265" s="61">
        <v>3232</v>
      </c>
      <c r="C3265" s="61">
        <v>154593.82573610183</v>
      </c>
      <c r="D3265" s="102">
        <v>0.22988553525077671</v>
      </c>
    </row>
    <row r="3266" spans="2:4" x14ac:dyDescent="0.25">
      <c r="B3266" s="61">
        <v>3233</v>
      </c>
      <c r="C3266" s="61">
        <v>275827.55511728593</v>
      </c>
      <c r="D3266" s="102">
        <v>0.24833148661371984</v>
      </c>
    </row>
    <row r="3267" spans="2:4" x14ac:dyDescent="0.25">
      <c r="B3267" s="61">
        <v>3234</v>
      </c>
      <c r="C3267" s="61">
        <v>-70358.714222903305</v>
      </c>
      <c r="D3267" s="102">
        <v>2.8874171553379124E-3</v>
      </c>
    </row>
    <row r="3268" spans="2:4" x14ac:dyDescent="0.25">
      <c r="B3268" s="61">
        <v>3235</v>
      </c>
      <c r="C3268" s="61">
        <v>252288.36855407024</v>
      </c>
      <c r="D3268" s="102">
        <v>0.24927269988823597</v>
      </c>
    </row>
    <row r="3269" spans="2:4" x14ac:dyDescent="0.25">
      <c r="B3269" s="61">
        <v>3236</v>
      </c>
      <c r="C3269" s="61">
        <v>-56027.238830479444</v>
      </c>
      <c r="D3269" s="102">
        <v>1.2944617697408844E-2</v>
      </c>
    </row>
    <row r="3270" spans="2:4" x14ac:dyDescent="0.25">
      <c r="B3270" s="61">
        <v>3237</v>
      </c>
      <c r="C3270" s="61">
        <v>-2262.6399443178088</v>
      </c>
      <c r="D3270" s="102">
        <v>6.1481340844804055E-2</v>
      </c>
    </row>
    <row r="3271" spans="2:4" x14ac:dyDescent="0.25">
      <c r="B3271" s="61">
        <v>3238</v>
      </c>
      <c r="C3271" s="61">
        <v>263894.63419334858</v>
      </c>
      <c r="D3271" s="102">
        <v>0.2425860918399374</v>
      </c>
    </row>
    <row r="3272" spans="2:4" x14ac:dyDescent="0.25">
      <c r="B3272" s="61">
        <v>3239</v>
      </c>
      <c r="C3272" s="61">
        <v>378377.45329520304</v>
      </c>
      <c r="D3272" s="102">
        <v>0.3192430586857844</v>
      </c>
    </row>
    <row r="3273" spans="2:4" x14ac:dyDescent="0.25">
      <c r="B3273" s="61">
        <v>3240</v>
      </c>
      <c r="C3273" s="61">
        <v>450104.71447739576</v>
      </c>
      <c r="D3273" s="102">
        <v>0.37531474606893545</v>
      </c>
    </row>
    <row r="3274" spans="2:4" x14ac:dyDescent="0.25">
      <c r="B3274" s="61">
        <v>3241</v>
      </c>
      <c r="C3274" s="61">
        <v>108161.48061912961</v>
      </c>
      <c r="D3274" s="102">
        <v>0.17464632626798826</v>
      </c>
    </row>
    <row r="3275" spans="2:4" x14ac:dyDescent="0.25">
      <c r="B3275" s="61">
        <v>3242</v>
      </c>
      <c r="C3275" s="61">
        <v>289628.55951652292</v>
      </c>
      <c r="D3275" s="102">
        <v>0.27719005621773096</v>
      </c>
    </row>
    <row r="3276" spans="2:4" x14ac:dyDescent="0.25">
      <c r="B3276" s="61">
        <v>3243</v>
      </c>
      <c r="C3276" s="61">
        <v>305913.95968052989</v>
      </c>
      <c r="D3276" s="102">
        <v>0.31863782209030345</v>
      </c>
    </row>
    <row r="3277" spans="2:4" x14ac:dyDescent="0.25">
      <c r="B3277" s="61">
        <v>3244</v>
      </c>
      <c r="C3277" s="61">
        <v>363690.31650641165</v>
      </c>
      <c r="D3277" s="102">
        <v>0.31330318429453929</v>
      </c>
    </row>
    <row r="3278" spans="2:4" x14ac:dyDescent="0.25">
      <c r="B3278" s="61">
        <v>3245</v>
      </c>
      <c r="C3278" s="61">
        <v>524179.56643598166</v>
      </c>
      <c r="D3278" s="102">
        <v>0.47029614127028996</v>
      </c>
    </row>
    <row r="3279" spans="2:4" x14ac:dyDescent="0.25">
      <c r="B3279" s="61">
        <v>3246</v>
      </c>
      <c r="C3279" s="61">
        <v>265746.4319720678</v>
      </c>
      <c r="D3279" s="102">
        <v>0.28097339380370001</v>
      </c>
    </row>
    <row r="3280" spans="2:4" x14ac:dyDescent="0.25">
      <c r="B3280" s="61">
        <v>3247</v>
      </c>
      <c r="C3280" s="61">
        <v>319143.48435753735</v>
      </c>
      <c r="D3280" s="102">
        <v>0.30722801399662347</v>
      </c>
    </row>
    <row r="3281" spans="2:4" x14ac:dyDescent="0.25">
      <c r="B3281" s="61">
        <v>3248</v>
      </c>
      <c r="C3281" s="61">
        <v>440993.30645874492</v>
      </c>
      <c r="D3281" s="102">
        <v>0.40809296654720217</v>
      </c>
    </row>
    <row r="3282" spans="2:4" x14ac:dyDescent="0.25">
      <c r="B3282" s="61">
        <v>3249</v>
      </c>
      <c r="C3282" s="61">
        <v>404599.85508884129</v>
      </c>
      <c r="D3282" s="102">
        <v>0.37935112682547323</v>
      </c>
    </row>
    <row r="3283" spans="2:4" x14ac:dyDescent="0.25">
      <c r="B3283" s="61">
        <v>3250</v>
      </c>
      <c r="C3283" s="61">
        <v>161632.48099522607</v>
      </c>
      <c r="D3283" s="102">
        <v>0.19350288592987241</v>
      </c>
    </row>
    <row r="3284" spans="2:4" x14ac:dyDescent="0.25">
      <c r="B3284" s="61">
        <v>3251</v>
      </c>
      <c r="C3284" s="61">
        <v>464212.22979099012</v>
      </c>
      <c r="D3284" s="102">
        <v>0.45601886003843384</v>
      </c>
    </row>
    <row r="3285" spans="2:4" x14ac:dyDescent="0.25">
      <c r="B3285" s="61">
        <v>3252</v>
      </c>
      <c r="C3285" s="61">
        <v>216951.7727899832</v>
      </c>
      <c r="D3285" s="102">
        <v>0.19804761377961411</v>
      </c>
    </row>
    <row r="3286" spans="2:4" x14ac:dyDescent="0.25">
      <c r="B3286" s="61">
        <v>3253</v>
      </c>
      <c r="C3286" s="61">
        <v>231346.63712344959</v>
      </c>
      <c r="D3286" s="102">
        <v>0.24452084994598366</v>
      </c>
    </row>
    <row r="3287" spans="2:4" x14ac:dyDescent="0.25">
      <c r="B3287" s="61">
        <v>3254</v>
      </c>
      <c r="C3287" s="61">
        <v>295846.96495574759</v>
      </c>
      <c r="D3287" s="102">
        <v>0.25641149650893835</v>
      </c>
    </row>
    <row r="3288" spans="2:4" x14ac:dyDescent="0.25">
      <c r="B3288" s="61">
        <v>3255</v>
      </c>
      <c r="C3288" s="61">
        <v>316237.68464830972</v>
      </c>
      <c r="D3288" s="102">
        <v>0.30476647164324056</v>
      </c>
    </row>
    <row r="3289" spans="2:4" x14ac:dyDescent="0.25">
      <c r="B3289" s="61">
        <v>3256</v>
      </c>
      <c r="C3289" s="61">
        <v>441101.02806912735</v>
      </c>
      <c r="D3289" s="102">
        <v>0.34608237864912272</v>
      </c>
    </row>
    <row r="3290" spans="2:4" x14ac:dyDescent="0.25">
      <c r="B3290" s="61">
        <v>3257</v>
      </c>
      <c r="C3290" s="61">
        <v>418685.73306416813</v>
      </c>
      <c r="D3290" s="102">
        <v>0.47145442355634826</v>
      </c>
    </row>
    <row r="3291" spans="2:4" x14ac:dyDescent="0.25">
      <c r="B3291" s="61">
        <v>3258</v>
      </c>
      <c r="C3291" s="61">
        <v>352826.73750153231</v>
      </c>
      <c r="D3291" s="102">
        <v>0.39842437619777349</v>
      </c>
    </row>
    <row r="3292" spans="2:4" x14ac:dyDescent="0.25">
      <c r="B3292" s="61">
        <v>3259</v>
      </c>
      <c r="C3292" s="61">
        <v>349677.83810870384</v>
      </c>
      <c r="D3292" s="102">
        <v>0.41665283041349577</v>
      </c>
    </row>
    <row r="3293" spans="2:4" x14ac:dyDescent="0.25">
      <c r="B3293" s="61">
        <v>3260</v>
      </c>
      <c r="C3293" s="61">
        <v>359913.00650482334</v>
      </c>
      <c r="D3293" s="102">
        <v>0.29793561917900035</v>
      </c>
    </row>
    <row r="3294" spans="2:4" x14ac:dyDescent="0.25">
      <c r="B3294" s="61">
        <v>3261</v>
      </c>
      <c r="C3294" s="61">
        <v>515161.95150923182</v>
      </c>
      <c r="D3294" s="102">
        <v>0.44107725065506909</v>
      </c>
    </row>
    <row r="3295" spans="2:4" x14ac:dyDescent="0.25">
      <c r="B3295" s="61">
        <v>3262</v>
      </c>
      <c r="C3295" s="61">
        <v>470350.2028280003</v>
      </c>
      <c r="D3295" s="102">
        <v>0.3970992720955302</v>
      </c>
    </row>
    <row r="3296" spans="2:4" x14ac:dyDescent="0.25">
      <c r="B3296" s="61">
        <v>3263</v>
      </c>
      <c r="C3296" s="61">
        <v>312141.17607469985</v>
      </c>
      <c r="D3296" s="102">
        <v>0.25772106971650177</v>
      </c>
    </row>
    <row r="3297" spans="2:4" x14ac:dyDescent="0.25">
      <c r="B3297" s="61">
        <v>3264</v>
      </c>
      <c r="C3297" s="61">
        <v>388692.74815112725</v>
      </c>
      <c r="D3297" s="102">
        <v>0.41846758098107339</v>
      </c>
    </row>
    <row r="3298" spans="2:4" x14ac:dyDescent="0.25">
      <c r="B3298" s="61">
        <v>3265</v>
      </c>
      <c r="C3298" s="61">
        <v>86914.665400636557</v>
      </c>
      <c r="D3298" s="102">
        <v>0.1318069391573633</v>
      </c>
    </row>
    <row r="3299" spans="2:4" x14ac:dyDescent="0.25">
      <c r="B3299" s="61">
        <v>3266</v>
      </c>
      <c r="C3299" s="61">
        <v>162025.00880685681</v>
      </c>
      <c r="D3299" s="102">
        <v>0.19675112693395791</v>
      </c>
    </row>
    <row r="3300" spans="2:4" x14ac:dyDescent="0.25">
      <c r="B3300" s="61">
        <v>3267</v>
      </c>
      <c r="C3300" s="61">
        <v>204007.29009393533</v>
      </c>
      <c r="D3300" s="102">
        <v>0.20370417264465224</v>
      </c>
    </row>
    <row r="3301" spans="2:4" x14ac:dyDescent="0.25">
      <c r="B3301" s="61">
        <v>3268</v>
      </c>
      <c r="C3301" s="61">
        <v>93494.624770260009</v>
      </c>
      <c r="D3301" s="102">
        <v>0.14650964788220411</v>
      </c>
    </row>
    <row r="3302" spans="2:4" x14ac:dyDescent="0.25">
      <c r="B3302" s="61">
        <v>3269</v>
      </c>
      <c r="C3302" s="61">
        <v>238077.22622531815</v>
      </c>
      <c r="D3302" s="102">
        <v>0.24182374450696997</v>
      </c>
    </row>
    <row r="3303" spans="2:4" x14ac:dyDescent="0.25">
      <c r="B3303" s="61">
        <v>3270</v>
      </c>
      <c r="C3303" s="61">
        <v>393465.93533321063</v>
      </c>
      <c r="D3303" s="102">
        <v>0.40736429085710735</v>
      </c>
    </row>
    <row r="3304" spans="2:4" x14ac:dyDescent="0.25">
      <c r="B3304" s="61">
        <v>3271</v>
      </c>
      <c r="C3304" s="61">
        <v>309382.5589653597</v>
      </c>
      <c r="D3304" s="102">
        <v>0.27959847865178578</v>
      </c>
    </row>
    <row r="3305" spans="2:4" x14ac:dyDescent="0.25">
      <c r="B3305" s="61">
        <v>3272</v>
      </c>
      <c r="C3305" s="61">
        <v>239057.52994667098</v>
      </c>
      <c r="D3305" s="102">
        <v>0.23082974399108824</v>
      </c>
    </row>
    <row r="3306" spans="2:4" x14ac:dyDescent="0.25">
      <c r="B3306" s="61">
        <v>3273</v>
      </c>
      <c r="C3306" s="61">
        <v>279936.37152331998</v>
      </c>
      <c r="D3306" s="102">
        <v>0.2811055110395102</v>
      </c>
    </row>
    <row r="3307" spans="2:4" x14ac:dyDescent="0.25">
      <c r="B3307" s="61">
        <v>3274</v>
      </c>
      <c r="C3307" s="61">
        <v>400436.41415928036</v>
      </c>
      <c r="D3307" s="102">
        <v>0.36026712640892922</v>
      </c>
    </row>
    <row r="3308" spans="2:4" x14ac:dyDescent="0.25">
      <c r="B3308" s="61">
        <v>3275</v>
      </c>
      <c r="C3308" s="61">
        <v>109104.1361523784</v>
      </c>
      <c r="D3308" s="102">
        <v>0.14708707909721497</v>
      </c>
    </row>
    <row r="3309" spans="2:4" x14ac:dyDescent="0.25">
      <c r="B3309" s="61">
        <v>3276</v>
      </c>
      <c r="C3309" s="61">
        <v>65237.06024434563</v>
      </c>
      <c r="D3309" s="102">
        <v>0.12120357550469407</v>
      </c>
    </row>
    <row r="3310" spans="2:4" x14ac:dyDescent="0.25">
      <c r="B3310" s="61">
        <v>3277</v>
      </c>
      <c r="C3310" s="61">
        <v>143796.77202211472</v>
      </c>
      <c r="D3310" s="102">
        <v>0.17710319944003539</v>
      </c>
    </row>
    <row r="3311" spans="2:4" x14ac:dyDescent="0.25">
      <c r="B3311" s="61">
        <v>3278</v>
      </c>
      <c r="C3311" s="61">
        <v>193098.3327022529</v>
      </c>
      <c r="D3311" s="102">
        <v>0.18979848851608194</v>
      </c>
    </row>
    <row r="3312" spans="2:4" x14ac:dyDescent="0.25">
      <c r="B3312" s="61">
        <v>3279</v>
      </c>
      <c r="C3312" s="61">
        <v>264562.99249257101</v>
      </c>
      <c r="D3312" s="102">
        <v>0.2753184231957837</v>
      </c>
    </row>
    <row r="3313" spans="2:4" x14ac:dyDescent="0.25">
      <c r="B3313" s="61">
        <v>3280</v>
      </c>
      <c r="C3313" s="61">
        <v>392104.90691150085</v>
      </c>
      <c r="D3313" s="102">
        <v>0.34870382941406963</v>
      </c>
    </row>
    <row r="3314" spans="2:4" x14ac:dyDescent="0.25">
      <c r="B3314" s="61">
        <v>3281</v>
      </c>
      <c r="C3314" s="61">
        <v>185387.57153106586</v>
      </c>
      <c r="D3314" s="102">
        <v>0.18947095482745846</v>
      </c>
    </row>
    <row r="3315" spans="2:4" x14ac:dyDescent="0.25">
      <c r="B3315" s="61">
        <v>3282</v>
      </c>
      <c r="C3315" s="61">
        <v>280668.74334990187</v>
      </c>
      <c r="D3315" s="102">
        <v>0.26776539456944271</v>
      </c>
    </row>
    <row r="3316" spans="2:4" x14ac:dyDescent="0.25">
      <c r="B3316" s="61">
        <v>3283</v>
      </c>
      <c r="C3316" s="61">
        <v>351964.99292072642</v>
      </c>
      <c r="D3316" s="102">
        <v>0.31980610400890397</v>
      </c>
    </row>
    <row r="3317" spans="2:4" x14ac:dyDescent="0.25">
      <c r="B3317" s="61">
        <v>3284</v>
      </c>
      <c r="C3317" s="61">
        <v>394450.59351529577</v>
      </c>
      <c r="D3317" s="102">
        <v>0.34963272115965127</v>
      </c>
    </row>
    <row r="3318" spans="2:4" x14ac:dyDescent="0.25">
      <c r="B3318" s="61">
        <v>3285</v>
      </c>
      <c r="C3318" s="61">
        <v>323445.91753355484</v>
      </c>
      <c r="D3318" s="102">
        <v>0.2940322059351006</v>
      </c>
    </row>
    <row r="3319" spans="2:4" x14ac:dyDescent="0.25">
      <c r="B3319" s="61">
        <v>3286</v>
      </c>
      <c r="C3319" s="61">
        <v>419799.73391449323</v>
      </c>
      <c r="D3319" s="102">
        <v>0.4001752101584799</v>
      </c>
    </row>
    <row r="3320" spans="2:4" x14ac:dyDescent="0.25">
      <c r="B3320" s="61">
        <v>3287</v>
      </c>
      <c r="C3320" s="61">
        <v>32365.124164805515</v>
      </c>
      <c r="D3320" s="102">
        <v>9.1807400842431441E-2</v>
      </c>
    </row>
    <row r="3321" spans="2:4" x14ac:dyDescent="0.25">
      <c r="B3321" s="61">
        <v>3288</v>
      </c>
      <c r="C3321" s="61">
        <v>115883.51551879715</v>
      </c>
      <c r="D3321" s="102">
        <v>0.16520421673690788</v>
      </c>
    </row>
    <row r="3322" spans="2:4" x14ac:dyDescent="0.25">
      <c r="B3322" s="61">
        <v>3289</v>
      </c>
      <c r="C3322" s="61">
        <v>276403.6628562985</v>
      </c>
      <c r="D3322" s="102">
        <v>0.26126528088125145</v>
      </c>
    </row>
    <row r="3323" spans="2:4" x14ac:dyDescent="0.25">
      <c r="B3323" s="61">
        <v>3290</v>
      </c>
      <c r="C3323" s="61">
        <v>137517.84326198185</v>
      </c>
      <c r="D3323" s="102">
        <v>0.18660845088861699</v>
      </c>
    </row>
    <row r="3324" spans="2:4" x14ac:dyDescent="0.25">
      <c r="B3324" s="61">
        <v>3291</v>
      </c>
      <c r="C3324" s="61">
        <v>364750.5469373659</v>
      </c>
      <c r="D3324" s="102">
        <v>0.36517612634654362</v>
      </c>
    </row>
    <row r="3325" spans="2:4" x14ac:dyDescent="0.25">
      <c r="B3325" s="61">
        <v>3292</v>
      </c>
      <c r="C3325" s="61">
        <v>392489.96563587675</v>
      </c>
      <c r="D3325" s="102">
        <v>0.41857566930885826</v>
      </c>
    </row>
    <row r="3326" spans="2:4" x14ac:dyDescent="0.25">
      <c r="B3326" s="61">
        <v>3293</v>
      </c>
      <c r="C3326" s="61">
        <v>224245.41296934767</v>
      </c>
      <c r="D3326" s="102">
        <v>0.22108085407175815</v>
      </c>
    </row>
    <row r="3327" spans="2:4" x14ac:dyDescent="0.25">
      <c r="B3327" s="61">
        <v>3294</v>
      </c>
      <c r="C3327" s="61">
        <v>513620.70055065467</v>
      </c>
      <c r="D3327" s="102">
        <v>0.47416144324336096</v>
      </c>
    </row>
    <row r="3328" spans="2:4" x14ac:dyDescent="0.25">
      <c r="B3328" s="61">
        <v>3295</v>
      </c>
      <c r="C3328" s="61">
        <v>252836.87661612907</v>
      </c>
      <c r="D3328" s="102">
        <v>0.2392299052215201</v>
      </c>
    </row>
    <row r="3329" spans="2:4" x14ac:dyDescent="0.25">
      <c r="B3329" s="61">
        <v>3296</v>
      </c>
      <c r="C3329" s="61">
        <v>-166988.30014946239</v>
      </c>
      <c r="D3329" s="102">
        <v>-0.13684572822817798</v>
      </c>
    </row>
    <row r="3330" spans="2:4" x14ac:dyDescent="0.25">
      <c r="B3330" s="61">
        <v>3297</v>
      </c>
      <c r="C3330" s="61">
        <v>292662.96294722671</v>
      </c>
      <c r="D3330" s="102">
        <v>0.31424579396516106</v>
      </c>
    </row>
    <row r="3331" spans="2:4" x14ac:dyDescent="0.25">
      <c r="B3331" s="61">
        <v>3298</v>
      </c>
      <c r="C3331" s="61">
        <v>-13249.52011435054</v>
      </c>
      <c r="D3331" s="102">
        <v>4.9018906445632338E-2</v>
      </c>
    </row>
    <row r="3332" spans="2:4" x14ac:dyDescent="0.25">
      <c r="B3332" s="61">
        <v>3299</v>
      </c>
      <c r="C3332" s="61">
        <v>312916.98836452211</v>
      </c>
      <c r="D3332" s="102">
        <v>0.28922701003506091</v>
      </c>
    </row>
    <row r="3333" spans="2:4" x14ac:dyDescent="0.25">
      <c r="B3333" s="61">
        <v>3300</v>
      </c>
      <c r="C3333" s="61">
        <v>283773.05152004131</v>
      </c>
      <c r="D3333" s="102">
        <v>0.27016268278568889</v>
      </c>
    </row>
    <row r="3334" spans="2:4" x14ac:dyDescent="0.25">
      <c r="B3334" s="61">
        <v>3301</v>
      </c>
      <c r="C3334" s="61">
        <v>187900.24627810752</v>
      </c>
      <c r="D3334" s="102">
        <v>0.21452185758810005</v>
      </c>
    </row>
    <row r="3335" spans="2:4" x14ac:dyDescent="0.25">
      <c r="B3335" s="61">
        <v>3302</v>
      </c>
      <c r="C3335" s="61">
        <v>318738.96584576473</v>
      </c>
      <c r="D3335" s="102">
        <v>0.27670908557703822</v>
      </c>
    </row>
    <row r="3336" spans="2:4" x14ac:dyDescent="0.25">
      <c r="B3336" s="61">
        <v>3303</v>
      </c>
      <c r="C3336" s="61">
        <v>121558.43244479783</v>
      </c>
      <c r="D3336" s="102">
        <v>0.19153068672500284</v>
      </c>
    </row>
    <row r="3337" spans="2:4" x14ac:dyDescent="0.25">
      <c r="B3337" s="61">
        <v>3304</v>
      </c>
      <c r="C3337" s="61">
        <v>272483.93229336548</v>
      </c>
      <c r="D3337" s="102">
        <v>0.26269523385832128</v>
      </c>
    </row>
    <row r="3338" spans="2:4" x14ac:dyDescent="0.25">
      <c r="B3338" s="61">
        <v>3305</v>
      </c>
      <c r="C3338" s="61">
        <v>343102.82052038691</v>
      </c>
      <c r="D3338" s="102">
        <v>0.31199667567652556</v>
      </c>
    </row>
    <row r="3339" spans="2:4" x14ac:dyDescent="0.25">
      <c r="B3339" s="61">
        <v>3306</v>
      </c>
      <c r="C3339" s="61">
        <v>429191.05484299536</v>
      </c>
      <c r="D3339" s="102">
        <v>0.37643222921140285</v>
      </c>
    </row>
    <row r="3340" spans="2:4" x14ac:dyDescent="0.25">
      <c r="B3340" s="61">
        <v>3307</v>
      </c>
      <c r="C3340" s="61">
        <v>335557.34751045657</v>
      </c>
      <c r="D3340" s="102">
        <v>0.35115602267452628</v>
      </c>
    </row>
    <row r="3341" spans="2:4" x14ac:dyDescent="0.25">
      <c r="B3341" s="61">
        <v>3308</v>
      </c>
      <c r="C3341" s="61">
        <v>284290.54000154615</v>
      </c>
      <c r="D3341" s="102">
        <v>0.28089750454818541</v>
      </c>
    </row>
    <row r="3342" spans="2:4" x14ac:dyDescent="0.25">
      <c r="B3342" s="61">
        <v>3309</v>
      </c>
      <c r="C3342" s="61">
        <v>273363.92318939965</v>
      </c>
      <c r="D3342" s="102">
        <v>0.27842759361244451</v>
      </c>
    </row>
    <row r="3343" spans="2:4" x14ac:dyDescent="0.25">
      <c r="B3343" s="61">
        <v>3310</v>
      </c>
      <c r="C3343" s="61">
        <v>6113.5508856298402</v>
      </c>
      <c r="D3343" s="102">
        <v>6.9519006515097903E-2</v>
      </c>
    </row>
    <row r="3344" spans="2:4" x14ac:dyDescent="0.25">
      <c r="B3344" s="61">
        <v>3311</v>
      </c>
      <c r="C3344" s="61">
        <v>471172.12036957697</v>
      </c>
      <c r="D3344" s="102">
        <v>0.40163595865549695</v>
      </c>
    </row>
    <row r="3345" spans="2:4" x14ac:dyDescent="0.25">
      <c r="B3345" s="61">
        <v>3312</v>
      </c>
      <c r="C3345" s="61">
        <v>259065.34858841205</v>
      </c>
      <c r="D3345" s="102">
        <v>0.25562092146113335</v>
      </c>
    </row>
    <row r="3346" spans="2:4" x14ac:dyDescent="0.25">
      <c r="B3346" s="61">
        <v>3313</v>
      </c>
      <c r="C3346" s="61">
        <v>434533.32916208671</v>
      </c>
      <c r="D3346" s="102">
        <v>0.4109366208908487</v>
      </c>
    </row>
    <row r="3347" spans="2:4" x14ac:dyDescent="0.25">
      <c r="B3347" s="61">
        <v>3314</v>
      </c>
      <c r="C3347" s="61">
        <v>326777.22533041297</v>
      </c>
      <c r="D3347" s="102">
        <v>0.2952254912598089</v>
      </c>
    </row>
    <row r="3348" spans="2:4" x14ac:dyDescent="0.25">
      <c r="B3348" s="61">
        <v>3315</v>
      </c>
      <c r="C3348" s="61">
        <v>94858.843679355865</v>
      </c>
      <c r="D3348" s="102">
        <v>0.13777035592000386</v>
      </c>
    </row>
    <row r="3349" spans="2:4" x14ac:dyDescent="0.25">
      <c r="B3349" s="61">
        <v>3316</v>
      </c>
      <c r="C3349" s="61">
        <v>192441.11077573162</v>
      </c>
      <c r="D3349" s="102">
        <v>0.22793406786768555</v>
      </c>
    </row>
    <row r="3350" spans="2:4" x14ac:dyDescent="0.25">
      <c r="B3350" s="61">
        <v>3317</v>
      </c>
      <c r="C3350" s="61">
        <v>340751.12269409909</v>
      </c>
      <c r="D3350" s="102">
        <v>0.26462557939848841</v>
      </c>
    </row>
    <row r="3351" spans="2:4" x14ac:dyDescent="0.25">
      <c r="B3351" s="61">
        <v>3318</v>
      </c>
      <c r="C3351" s="61">
        <v>230016.13444736204</v>
      </c>
      <c r="D3351" s="102">
        <v>0.18999676085509432</v>
      </c>
    </row>
    <row r="3352" spans="2:4" x14ac:dyDescent="0.25">
      <c r="B3352" s="61">
        <v>3319</v>
      </c>
      <c r="C3352" s="61">
        <v>124448.50619994081</v>
      </c>
      <c r="D3352" s="102">
        <v>0.19158799323143572</v>
      </c>
    </row>
    <row r="3353" spans="2:4" x14ac:dyDescent="0.25">
      <c r="B3353" s="61">
        <v>3320</v>
      </c>
      <c r="C3353" s="61">
        <v>190696.84978452744</v>
      </c>
      <c r="D3353" s="102">
        <v>0.20947136715554637</v>
      </c>
    </row>
    <row r="3354" spans="2:4" x14ac:dyDescent="0.25">
      <c r="B3354" s="61">
        <v>3321</v>
      </c>
      <c r="C3354" s="61">
        <v>310004.48685678362</v>
      </c>
      <c r="D3354" s="102">
        <v>0.32549426653361668</v>
      </c>
    </row>
    <row r="3355" spans="2:4" x14ac:dyDescent="0.25">
      <c r="B3355" s="61">
        <v>3322</v>
      </c>
      <c r="C3355" s="61">
        <v>58921.257380030758</v>
      </c>
      <c r="D3355" s="102">
        <v>0.11114090581828351</v>
      </c>
    </row>
    <row r="3356" spans="2:4" x14ac:dyDescent="0.25">
      <c r="B3356" s="61">
        <v>3323</v>
      </c>
      <c r="C3356" s="61">
        <v>257889.55282811576</v>
      </c>
      <c r="D3356" s="102">
        <v>0.22300696235596651</v>
      </c>
    </row>
    <row r="3357" spans="2:4" x14ac:dyDescent="0.25">
      <c r="B3357" s="61">
        <v>3324</v>
      </c>
      <c r="C3357" s="61">
        <v>101896.2058774702</v>
      </c>
      <c r="D3357" s="102">
        <v>0.14014679919803585</v>
      </c>
    </row>
    <row r="3358" spans="2:4" x14ac:dyDescent="0.25">
      <c r="B3358" s="61">
        <v>3325</v>
      </c>
      <c r="C3358" s="61">
        <v>349798.5931342158</v>
      </c>
      <c r="D3358" s="102">
        <v>0.32585277040138427</v>
      </c>
    </row>
    <row r="3359" spans="2:4" x14ac:dyDescent="0.25">
      <c r="B3359" s="61">
        <v>3326</v>
      </c>
      <c r="C3359" s="61">
        <v>93352.99445948028</v>
      </c>
      <c r="D3359" s="102">
        <v>0.14579394554639569</v>
      </c>
    </row>
    <row r="3360" spans="2:4" x14ac:dyDescent="0.25">
      <c r="B3360" s="61">
        <v>3327</v>
      </c>
      <c r="C3360" s="61">
        <v>370805.92739246518</v>
      </c>
      <c r="D3360" s="102">
        <v>0.37553931884017011</v>
      </c>
    </row>
    <row r="3361" spans="2:4" x14ac:dyDescent="0.25">
      <c r="B3361" s="61">
        <v>3328</v>
      </c>
      <c r="C3361" s="61">
        <v>330638.53704754915</v>
      </c>
      <c r="D3361" s="102">
        <v>0.25864863972536489</v>
      </c>
    </row>
    <row r="3362" spans="2:4" x14ac:dyDescent="0.25">
      <c r="B3362" s="61">
        <v>3329</v>
      </c>
      <c r="C3362" s="61">
        <v>377450.78051402897</v>
      </c>
      <c r="D3362" s="102">
        <v>0.34933416396706685</v>
      </c>
    </row>
    <row r="3363" spans="2:4" x14ac:dyDescent="0.25">
      <c r="B3363" s="61">
        <v>3330</v>
      </c>
      <c r="C3363" s="61">
        <v>98568.372538976779</v>
      </c>
      <c r="D3363" s="102">
        <v>0.14683472184354351</v>
      </c>
    </row>
    <row r="3364" spans="2:4" x14ac:dyDescent="0.25">
      <c r="B3364" s="61">
        <v>3331</v>
      </c>
      <c r="C3364" s="61">
        <v>374775.46431536984</v>
      </c>
      <c r="D3364" s="102">
        <v>0.36229404202280757</v>
      </c>
    </row>
    <row r="3365" spans="2:4" x14ac:dyDescent="0.25">
      <c r="B3365" s="61">
        <v>3332</v>
      </c>
      <c r="C3365" s="61">
        <v>181298.71842380764</v>
      </c>
      <c r="D3365" s="102">
        <v>0.19706523774793183</v>
      </c>
    </row>
    <row r="3366" spans="2:4" x14ac:dyDescent="0.25">
      <c r="B3366" s="61">
        <v>3333</v>
      </c>
      <c r="C3366" s="61">
        <v>96844.654403506953</v>
      </c>
      <c r="D3366" s="102">
        <v>0.15210845302138076</v>
      </c>
    </row>
    <row r="3367" spans="2:4" x14ac:dyDescent="0.25">
      <c r="B3367" s="61">
        <v>3334</v>
      </c>
      <c r="C3367" s="61">
        <v>487503.95161867572</v>
      </c>
      <c r="D3367" s="102">
        <v>0.44892397326996281</v>
      </c>
    </row>
    <row r="3368" spans="2:4" x14ac:dyDescent="0.25">
      <c r="B3368" s="61">
        <v>3335</v>
      </c>
      <c r="C3368" s="61">
        <v>419849.70108168048</v>
      </c>
      <c r="D3368" s="102">
        <v>0.33456418431168466</v>
      </c>
    </row>
    <row r="3369" spans="2:4" x14ac:dyDescent="0.25">
      <c r="B3369" s="61">
        <v>3336</v>
      </c>
      <c r="C3369" s="61">
        <v>274876.81500532583</v>
      </c>
      <c r="D3369" s="102">
        <v>0.29184137869648552</v>
      </c>
    </row>
    <row r="3370" spans="2:4" x14ac:dyDescent="0.25">
      <c r="B3370" s="61">
        <v>3337</v>
      </c>
      <c r="C3370" s="61">
        <v>578814.49134797743</v>
      </c>
      <c r="D3370" s="102">
        <v>0.47953761611178924</v>
      </c>
    </row>
    <row r="3371" spans="2:4" x14ac:dyDescent="0.25">
      <c r="B3371" s="61">
        <v>3338</v>
      </c>
      <c r="C3371" s="61">
        <v>520997.14863697963</v>
      </c>
      <c r="D3371" s="102">
        <v>0.48227557440213298</v>
      </c>
    </row>
    <row r="3372" spans="2:4" x14ac:dyDescent="0.25">
      <c r="B3372" s="61">
        <v>3339</v>
      </c>
      <c r="C3372" s="61">
        <v>154930.45023412938</v>
      </c>
      <c r="D3372" s="102">
        <v>0.16148646718839799</v>
      </c>
    </row>
    <row r="3373" spans="2:4" x14ac:dyDescent="0.25">
      <c r="B3373" s="61">
        <v>3340</v>
      </c>
      <c r="C3373" s="61">
        <v>253880.06942991703</v>
      </c>
      <c r="D3373" s="102">
        <v>0.24817814807743943</v>
      </c>
    </row>
    <row r="3374" spans="2:4" x14ac:dyDescent="0.25">
      <c r="B3374" s="61">
        <v>3341</v>
      </c>
      <c r="C3374" s="61">
        <v>320978.56585210864</v>
      </c>
      <c r="D3374" s="102">
        <v>0.28355859715575282</v>
      </c>
    </row>
    <row r="3375" spans="2:4" x14ac:dyDescent="0.25">
      <c r="B3375" s="61">
        <v>3342</v>
      </c>
      <c r="C3375" s="61">
        <v>418176.6546000645</v>
      </c>
      <c r="D3375" s="102">
        <v>0.39512610902564616</v>
      </c>
    </row>
    <row r="3376" spans="2:4" x14ac:dyDescent="0.25">
      <c r="B3376" s="61">
        <v>3343</v>
      </c>
      <c r="C3376" s="61">
        <v>67560.436767052743</v>
      </c>
      <c r="D3376" s="102">
        <v>0.11555456041405665</v>
      </c>
    </row>
    <row r="3377" spans="2:4" x14ac:dyDescent="0.25">
      <c r="B3377" s="61">
        <v>3344</v>
      </c>
      <c r="C3377" s="61">
        <v>316449.33023543493</v>
      </c>
      <c r="D3377" s="102">
        <v>0.31438678028893996</v>
      </c>
    </row>
    <row r="3378" spans="2:4" x14ac:dyDescent="0.25">
      <c r="B3378" s="61">
        <v>3345</v>
      </c>
      <c r="C3378" s="61">
        <v>141508.3073517626</v>
      </c>
      <c r="D3378" s="102">
        <v>0.16380426037169848</v>
      </c>
    </row>
    <row r="3379" spans="2:4" x14ac:dyDescent="0.25">
      <c r="B3379" s="61">
        <v>3346</v>
      </c>
      <c r="C3379" s="61">
        <v>166378.27266139863</v>
      </c>
      <c r="D3379" s="102">
        <v>0.18692315658440473</v>
      </c>
    </row>
    <row r="3380" spans="2:4" x14ac:dyDescent="0.25">
      <c r="B3380" s="61">
        <v>3347</v>
      </c>
      <c r="C3380" s="61">
        <v>171054.69645643886</v>
      </c>
      <c r="D3380" s="102">
        <v>0.20585469382378152</v>
      </c>
    </row>
    <row r="3381" spans="2:4" x14ac:dyDescent="0.25">
      <c r="B3381" s="61">
        <v>3348</v>
      </c>
      <c r="C3381" s="61">
        <v>375244.69299570122</v>
      </c>
      <c r="D3381" s="102">
        <v>0.37989176849513062</v>
      </c>
    </row>
    <row r="3382" spans="2:4" x14ac:dyDescent="0.25">
      <c r="B3382" s="61">
        <v>3349</v>
      </c>
      <c r="C3382" s="61">
        <v>345733.52947908407</v>
      </c>
      <c r="D3382" s="102">
        <v>0.32240311619241924</v>
      </c>
    </row>
    <row r="3383" spans="2:4" x14ac:dyDescent="0.25">
      <c r="B3383" s="61">
        <v>3350</v>
      </c>
      <c r="C3383" s="61">
        <v>377024.47064597171</v>
      </c>
      <c r="D3383" s="102">
        <v>0.36347048003591809</v>
      </c>
    </row>
    <row r="3384" spans="2:4" x14ac:dyDescent="0.25">
      <c r="B3384" s="61">
        <v>3351</v>
      </c>
      <c r="C3384" s="61">
        <v>8439.1452540820464</v>
      </c>
      <c r="D3384" s="102">
        <v>6.9866131073155868E-2</v>
      </c>
    </row>
    <row r="3385" spans="2:4" x14ac:dyDescent="0.25">
      <c r="B3385" s="61">
        <v>3352</v>
      </c>
      <c r="C3385" s="61">
        <v>567877.48800576152</v>
      </c>
      <c r="D3385" s="102">
        <v>0.51838501616870536</v>
      </c>
    </row>
    <row r="3386" spans="2:4" x14ac:dyDescent="0.25">
      <c r="B3386" s="61">
        <v>3353</v>
      </c>
      <c r="C3386" s="61">
        <v>257127.10041223606</v>
      </c>
      <c r="D3386" s="102">
        <v>0.27702611405113808</v>
      </c>
    </row>
    <row r="3387" spans="2:4" x14ac:dyDescent="0.25">
      <c r="B3387" s="61">
        <v>3354</v>
      </c>
      <c r="C3387" s="61">
        <v>264710.34470545489</v>
      </c>
      <c r="D3387" s="102">
        <v>0.28782747959457478</v>
      </c>
    </row>
    <row r="3388" spans="2:4" x14ac:dyDescent="0.25">
      <c r="B3388" s="61">
        <v>3355</v>
      </c>
      <c r="C3388" s="61">
        <v>319631.96640350064</v>
      </c>
      <c r="D3388" s="102">
        <v>0.25842145969142583</v>
      </c>
    </row>
    <row r="3389" spans="2:4" x14ac:dyDescent="0.25">
      <c r="B3389" s="61">
        <v>3356</v>
      </c>
      <c r="C3389" s="61">
        <v>259828.57903794176</v>
      </c>
      <c r="D3389" s="102">
        <v>0.25388389859820193</v>
      </c>
    </row>
    <row r="3390" spans="2:4" x14ac:dyDescent="0.25">
      <c r="B3390" s="61">
        <v>3357</v>
      </c>
      <c r="C3390" s="61">
        <v>287956.24543936388</v>
      </c>
      <c r="D3390" s="102">
        <v>0.28886224158357465</v>
      </c>
    </row>
    <row r="3391" spans="2:4" x14ac:dyDescent="0.25">
      <c r="B3391" s="61">
        <v>3358</v>
      </c>
      <c r="C3391" s="61">
        <v>128114.20713723236</v>
      </c>
      <c r="D3391" s="102">
        <v>0.19443253829934015</v>
      </c>
    </row>
    <row r="3392" spans="2:4" x14ac:dyDescent="0.25">
      <c r="B3392" s="61">
        <v>3359</v>
      </c>
      <c r="C3392" s="61">
        <v>237367.34929877962</v>
      </c>
      <c r="D3392" s="102">
        <v>0.23037045310699367</v>
      </c>
    </row>
    <row r="3393" spans="2:4" x14ac:dyDescent="0.25">
      <c r="B3393" s="61">
        <v>3360</v>
      </c>
      <c r="C3393" s="61">
        <v>292174.43795214046</v>
      </c>
      <c r="D3393" s="102">
        <v>0.30809557599710224</v>
      </c>
    </row>
    <row r="3394" spans="2:4" x14ac:dyDescent="0.25">
      <c r="B3394" s="61">
        <v>3361</v>
      </c>
      <c r="C3394" s="61">
        <v>266278.31924353796</v>
      </c>
      <c r="D3394" s="102">
        <v>0.32246108772353499</v>
      </c>
    </row>
    <row r="3395" spans="2:4" x14ac:dyDescent="0.25">
      <c r="B3395" s="61">
        <v>3362</v>
      </c>
      <c r="C3395" s="61">
        <v>192007.23809581972</v>
      </c>
      <c r="D3395" s="102">
        <v>0.23176825703844917</v>
      </c>
    </row>
    <row r="3396" spans="2:4" x14ac:dyDescent="0.25">
      <c r="B3396" s="61">
        <v>3363</v>
      </c>
      <c r="C3396" s="61">
        <v>15138.158931188867</v>
      </c>
      <c r="D3396" s="102">
        <v>7.5330819018066597E-2</v>
      </c>
    </row>
    <row r="3397" spans="2:4" x14ac:dyDescent="0.25">
      <c r="B3397" s="61">
        <v>3364</v>
      </c>
      <c r="C3397" s="61">
        <v>301093.17592536879</v>
      </c>
      <c r="D3397" s="102">
        <v>0.30642260332902183</v>
      </c>
    </row>
    <row r="3398" spans="2:4" x14ac:dyDescent="0.25">
      <c r="B3398" s="61">
        <v>3365</v>
      </c>
      <c r="C3398" s="61">
        <v>120695.95058751997</v>
      </c>
      <c r="D3398" s="102">
        <v>0.18473901524764891</v>
      </c>
    </row>
    <row r="3399" spans="2:4" x14ac:dyDescent="0.25">
      <c r="B3399" s="61">
        <v>3366</v>
      </c>
      <c r="C3399" s="61">
        <v>131410.15645099449</v>
      </c>
      <c r="D3399" s="102">
        <v>0.16204712932042997</v>
      </c>
    </row>
    <row r="3400" spans="2:4" x14ac:dyDescent="0.25">
      <c r="B3400" s="61">
        <v>3367</v>
      </c>
      <c r="C3400" s="61">
        <v>308094.52929641586</v>
      </c>
      <c r="D3400" s="102">
        <v>0.33278851605479676</v>
      </c>
    </row>
    <row r="3401" spans="2:4" x14ac:dyDescent="0.25">
      <c r="B3401" s="61">
        <v>3368</v>
      </c>
      <c r="C3401" s="61">
        <v>193182.29216435656</v>
      </c>
      <c r="D3401" s="102">
        <v>0.21717790996490538</v>
      </c>
    </row>
    <row r="3402" spans="2:4" x14ac:dyDescent="0.25">
      <c r="B3402" s="61">
        <v>3369</v>
      </c>
      <c r="C3402" s="61">
        <v>171968.89152365702</v>
      </c>
      <c r="D3402" s="102">
        <v>0.18739874196069728</v>
      </c>
    </row>
    <row r="3403" spans="2:4" x14ac:dyDescent="0.25">
      <c r="B3403" s="61">
        <v>3370</v>
      </c>
      <c r="C3403" s="61">
        <v>83726.853414867714</v>
      </c>
      <c r="D3403" s="102">
        <v>0.14373396529924376</v>
      </c>
    </row>
    <row r="3404" spans="2:4" x14ac:dyDescent="0.25">
      <c r="B3404" s="61">
        <v>3371</v>
      </c>
      <c r="C3404" s="61">
        <v>-7096.6529838599381</v>
      </c>
      <c r="D3404" s="102">
        <v>5.6650066305863112E-2</v>
      </c>
    </row>
    <row r="3405" spans="2:4" x14ac:dyDescent="0.25">
      <c r="B3405" s="61">
        <v>3372</v>
      </c>
      <c r="C3405" s="61">
        <v>-41261.27153769281</v>
      </c>
      <c r="D3405" s="102">
        <v>2.8380120165899525E-2</v>
      </c>
    </row>
    <row r="3406" spans="2:4" x14ac:dyDescent="0.25">
      <c r="B3406" s="61">
        <v>3373</v>
      </c>
      <c r="C3406" s="61">
        <v>291528.83105676959</v>
      </c>
      <c r="D3406" s="102">
        <v>0.30343025470895335</v>
      </c>
    </row>
    <row r="3407" spans="2:4" x14ac:dyDescent="0.25">
      <c r="B3407" s="61">
        <v>3374</v>
      </c>
      <c r="C3407" s="61">
        <v>128115.52247672045</v>
      </c>
      <c r="D3407" s="102">
        <v>0.18159802414105464</v>
      </c>
    </row>
    <row r="3408" spans="2:4" x14ac:dyDescent="0.25">
      <c r="B3408" s="61">
        <v>3375</v>
      </c>
      <c r="C3408" s="61">
        <v>428361.80714183452</v>
      </c>
      <c r="D3408" s="102">
        <v>0.35401930890865962</v>
      </c>
    </row>
    <row r="3409" spans="2:4" x14ac:dyDescent="0.25">
      <c r="B3409" s="61">
        <v>3376</v>
      </c>
      <c r="C3409" s="61">
        <v>299697.76079509524</v>
      </c>
      <c r="D3409" s="102">
        <v>0.30415209242486241</v>
      </c>
    </row>
    <row r="3410" spans="2:4" x14ac:dyDescent="0.25">
      <c r="B3410" s="61">
        <v>3377</v>
      </c>
      <c r="C3410" s="61">
        <v>442639.94222988037</v>
      </c>
      <c r="D3410" s="102">
        <v>0.4099667049218112</v>
      </c>
    </row>
    <row r="3411" spans="2:4" x14ac:dyDescent="0.25">
      <c r="B3411" s="61">
        <v>3378</v>
      </c>
      <c r="C3411" s="61">
        <v>117007.47929943644</v>
      </c>
      <c r="D3411" s="102">
        <v>0.15679165395024852</v>
      </c>
    </row>
    <row r="3412" spans="2:4" x14ac:dyDescent="0.25">
      <c r="B3412" s="61">
        <v>3379</v>
      </c>
      <c r="C3412" s="61">
        <v>163511.92879281391</v>
      </c>
      <c r="D3412" s="102">
        <v>0.18766747554734176</v>
      </c>
    </row>
    <row r="3413" spans="2:4" x14ac:dyDescent="0.25">
      <c r="B3413" s="61">
        <v>3380</v>
      </c>
      <c r="C3413" s="61">
        <v>430625.84999749297</v>
      </c>
      <c r="D3413" s="102">
        <v>0.3790203396522156</v>
      </c>
    </row>
    <row r="3414" spans="2:4" x14ac:dyDescent="0.25">
      <c r="B3414" s="61">
        <v>3381</v>
      </c>
      <c r="C3414" s="61">
        <v>490308.21541398799</v>
      </c>
      <c r="D3414" s="102">
        <v>0.46285677085451837</v>
      </c>
    </row>
    <row r="3415" spans="2:4" x14ac:dyDescent="0.25">
      <c r="B3415" s="61">
        <v>3382</v>
      </c>
      <c r="C3415" s="61">
        <v>227803.1665153791</v>
      </c>
      <c r="D3415" s="102">
        <v>0.32999223662893273</v>
      </c>
    </row>
    <row r="3416" spans="2:4" x14ac:dyDescent="0.25">
      <c r="B3416" s="61">
        <v>3383</v>
      </c>
      <c r="C3416" s="61">
        <v>105797.046502674</v>
      </c>
      <c r="D3416" s="102">
        <v>0.13706624625725006</v>
      </c>
    </row>
    <row r="3417" spans="2:4" x14ac:dyDescent="0.25">
      <c r="B3417" s="61">
        <v>3384</v>
      </c>
      <c r="C3417" s="61">
        <v>455806.44100358686</v>
      </c>
      <c r="D3417" s="102">
        <v>0.34989730247460438</v>
      </c>
    </row>
    <row r="3418" spans="2:4" x14ac:dyDescent="0.25">
      <c r="B3418" s="61">
        <v>3385</v>
      </c>
      <c r="C3418" s="61">
        <v>246578.81464228535</v>
      </c>
      <c r="D3418" s="102">
        <v>0.2918864863810966</v>
      </c>
    </row>
    <row r="3419" spans="2:4" x14ac:dyDescent="0.25">
      <c r="B3419" s="61">
        <v>3386</v>
      </c>
      <c r="C3419" s="61">
        <v>540947.89661320567</v>
      </c>
      <c r="D3419" s="102">
        <v>0.46291745559182318</v>
      </c>
    </row>
    <row r="3420" spans="2:4" x14ac:dyDescent="0.25">
      <c r="B3420" s="61">
        <v>3387</v>
      </c>
      <c r="C3420" s="61">
        <v>383387.05070543964</v>
      </c>
      <c r="D3420" s="102">
        <v>0.35448857692084479</v>
      </c>
    </row>
    <row r="3421" spans="2:4" x14ac:dyDescent="0.25">
      <c r="B3421" s="61">
        <v>3388</v>
      </c>
      <c r="C3421" s="61">
        <v>192599.52817661583</v>
      </c>
      <c r="D3421" s="102">
        <v>0.23282230534224513</v>
      </c>
    </row>
    <row r="3422" spans="2:4" x14ac:dyDescent="0.25">
      <c r="B3422" s="61">
        <v>3389</v>
      </c>
      <c r="C3422" s="61">
        <v>425735.06152941182</v>
      </c>
      <c r="D3422" s="102">
        <v>0.33750423171737576</v>
      </c>
    </row>
    <row r="3423" spans="2:4" x14ac:dyDescent="0.25">
      <c r="B3423" s="61">
        <v>3390</v>
      </c>
      <c r="C3423" s="61">
        <v>70470.540215064364</v>
      </c>
      <c r="D3423" s="102">
        <v>0.12160711450652251</v>
      </c>
    </row>
    <row r="3424" spans="2:4" x14ac:dyDescent="0.25">
      <c r="B3424" s="61">
        <v>3391</v>
      </c>
      <c r="C3424" s="61">
        <v>328691.95622177538</v>
      </c>
      <c r="D3424" s="102">
        <v>0.31582183130692232</v>
      </c>
    </row>
    <row r="3425" spans="2:4" x14ac:dyDescent="0.25">
      <c r="B3425" s="61">
        <v>3392</v>
      </c>
      <c r="C3425" s="61">
        <v>216354.12103199097</v>
      </c>
      <c r="D3425" s="102">
        <v>0.23200526419969125</v>
      </c>
    </row>
    <row r="3426" spans="2:4" x14ac:dyDescent="0.25">
      <c r="B3426" s="61">
        <v>3393</v>
      </c>
      <c r="C3426" s="61">
        <v>331026.19182636542</v>
      </c>
      <c r="D3426" s="102">
        <v>0.34680761669664961</v>
      </c>
    </row>
    <row r="3427" spans="2:4" x14ac:dyDescent="0.25">
      <c r="B3427" s="61">
        <v>3394</v>
      </c>
      <c r="C3427" s="61">
        <v>320804.91522689583</v>
      </c>
      <c r="D3427" s="102">
        <v>0.28016255745455809</v>
      </c>
    </row>
    <row r="3428" spans="2:4" x14ac:dyDescent="0.25">
      <c r="B3428" s="61">
        <v>3395</v>
      </c>
      <c r="C3428" s="61">
        <v>254259.34323247231</v>
      </c>
      <c r="D3428" s="102">
        <v>0.25836925660132071</v>
      </c>
    </row>
    <row r="3429" spans="2:4" x14ac:dyDescent="0.25">
      <c r="B3429" s="61">
        <v>3396</v>
      </c>
      <c r="C3429" s="61">
        <v>435948.62943853857</v>
      </c>
      <c r="D3429" s="102">
        <v>0.44346643299338595</v>
      </c>
    </row>
    <row r="3430" spans="2:4" x14ac:dyDescent="0.25">
      <c r="B3430" s="61">
        <v>3397</v>
      </c>
      <c r="C3430" s="61">
        <v>80355.65384671354</v>
      </c>
      <c r="D3430" s="102">
        <v>0.13969411492394834</v>
      </c>
    </row>
    <row r="3431" spans="2:4" x14ac:dyDescent="0.25">
      <c r="B3431" s="61">
        <v>3398</v>
      </c>
      <c r="C3431" s="61">
        <v>168861.62660687987</v>
      </c>
      <c r="D3431" s="102">
        <v>0.19105845552586165</v>
      </c>
    </row>
    <row r="3432" spans="2:4" x14ac:dyDescent="0.25">
      <c r="B3432" s="61">
        <v>3399</v>
      </c>
      <c r="C3432" s="61">
        <v>201185.21234915091</v>
      </c>
      <c r="D3432" s="102">
        <v>0.18733145932777218</v>
      </c>
    </row>
    <row r="3433" spans="2:4" x14ac:dyDescent="0.25">
      <c r="B3433" s="61">
        <v>3400</v>
      </c>
      <c r="C3433" s="61">
        <v>319162.14548307634</v>
      </c>
      <c r="D3433" s="102">
        <v>0.25418830025309425</v>
      </c>
    </row>
    <row r="3434" spans="2:4" x14ac:dyDescent="0.25">
      <c r="B3434" s="61">
        <v>3401</v>
      </c>
      <c r="C3434" s="61">
        <v>271806.63627613976</v>
      </c>
      <c r="D3434" s="102">
        <v>0.25356067958015416</v>
      </c>
    </row>
    <row r="3435" spans="2:4" x14ac:dyDescent="0.25">
      <c r="B3435" s="61">
        <v>3402</v>
      </c>
      <c r="C3435" s="61">
        <v>380098.331564522</v>
      </c>
      <c r="D3435" s="102">
        <v>0.35446990365292397</v>
      </c>
    </row>
    <row r="3436" spans="2:4" x14ac:dyDescent="0.25">
      <c r="B3436" s="61">
        <v>3403</v>
      </c>
      <c r="C3436" s="61">
        <v>359240.80375864531</v>
      </c>
      <c r="D3436" s="102">
        <v>0.4031871379390719</v>
      </c>
    </row>
    <row r="3437" spans="2:4" x14ac:dyDescent="0.25">
      <c r="B3437" s="61">
        <v>3404</v>
      </c>
      <c r="C3437" s="61">
        <v>322596.72080638458</v>
      </c>
      <c r="D3437" s="102">
        <v>0.33083587210009768</v>
      </c>
    </row>
    <row r="3438" spans="2:4" x14ac:dyDescent="0.25">
      <c r="B3438" s="61">
        <v>3405</v>
      </c>
      <c r="C3438" s="61">
        <v>98374.670291818155</v>
      </c>
      <c r="D3438" s="102">
        <v>0.13719706260362852</v>
      </c>
    </row>
    <row r="3439" spans="2:4" x14ac:dyDescent="0.25">
      <c r="B3439" s="61">
        <v>3406</v>
      </c>
      <c r="C3439" s="61">
        <v>231452.28903523705</v>
      </c>
      <c r="D3439" s="102">
        <v>0.24935130597589183</v>
      </c>
    </row>
    <row r="3440" spans="2:4" x14ac:dyDescent="0.25">
      <c r="B3440" s="61">
        <v>3407</v>
      </c>
      <c r="C3440" s="61">
        <v>74879.399708954152</v>
      </c>
      <c r="D3440" s="102">
        <v>0.12437811818175049</v>
      </c>
    </row>
    <row r="3441" spans="2:4" x14ac:dyDescent="0.25">
      <c r="B3441" s="61">
        <v>3408</v>
      </c>
      <c r="C3441" s="61">
        <v>220587.11415349331</v>
      </c>
      <c r="D3441" s="102">
        <v>0.27050823199092333</v>
      </c>
    </row>
    <row r="3442" spans="2:4" x14ac:dyDescent="0.25">
      <c r="B3442" s="61">
        <v>3409</v>
      </c>
      <c r="C3442" s="61">
        <v>422399.46601740178</v>
      </c>
      <c r="D3442" s="102">
        <v>0.34983828056151123</v>
      </c>
    </row>
    <row r="3443" spans="2:4" x14ac:dyDescent="0.25">
      <c r="B3443" s="61">
        <v>3410</v>
      </c>
      <c r="C3443" s="61">
        <v>332171.796314587</v>
      </c>
      <c r="D3443" s="102">
        <v>0.38125128568914923</v>
      </c>
    </row>
    <row r="3444" spans="2:4" x14ac:dyDescent="0.25">
      <c r="B3444" s="61">
        <v>3411</v>
      </c>
      <c r="C3444" s="61">
        <v>284307.8963612708</v>
      </c>
      <c r="D3444" s="102">
        <v>0.28939097276074399</v>
      </c>
    </row>
    <row r="3445" spans="2:4" x14ac:dyDescent="0.25">
      <c r="B3445" s="61">
        <v>3412</v>
      </c>
      <c r="C3445" s="61">
        <v>364400.70718514733</v>
      </c>
      <c r="D3445" s="102">
        <v>0.35315363667125355</v>
      </c>
    </row>
    <row r="3446" spans="2:4" x14ac:dyDescent="0.25">
      <c r="B3446" s="61">
        <v>3413</v>
      </c>
      <c r="C3446" s="61">
        <v>379417.90586188552</v>
      </c>
      <c r="D3446" s="102">
        <v>0.3624926964596713</v>
      </c>
    </row>
    <row r="3447" spans="2:4" x14ac:dyDescent="0.25">
      <c r="B3447" s="61">
        <v>3414</v>
      </c>
      <c r="C3447" s="61">
        <v>173119.35659981251</v>
      </c>
      <c r="D3447" s="102">
        <v>0.20632568322646927</v>
      </c>
    </row>
    <row r="3448" spans="2:4" x14ac:dyDescent="0.25">
      <c r="B3448" s="61">
        <v>3415</v>
      </c>
      <c r="C3448" s="61">
        <v>131063.44196925726</v>
      </c>
      <c r="D3448" s="102">
        <v>0.14981104896366726</v>
      </c>
    </row>
    <row r="3449" spans="2:4" x14ac:dyDescent="0.25">
      <c r="B3449" s="61">
        <v>3416</v>
      </c>
      <c r="C3449" s="61">
        <v>127954.78343822912</v>
      </c>
      <c r="D3449" s="102">
        <v>0.16460312030755664</v>
      </c>
    </row>
    <row r="3450" spans="2:4" x14ac:dyDescent="0.25">
      <c r="B3450" s="61">
        <v>3417</v>
      </c>
      <c r="C3450" s="61">
        <v>283886.91339822975</v>
      </c>
      <c r="D3450" s="102">
        <v>0.27701043897711797</v>
      </c>
    </row>
    <row r="3451" spans="2:4" x14ac:dyDescent="0.25">
      <c r="B3451" s="61">
        <v>3418</v>
      </c>
      <c r="C3451" s="61">
        <v>146349.94690259523</v>
      </c>
      <c r="D3451" s="102">
        <v>0.16598183657077525</v>
      </c>
    </row>
    <row r="3452" spans="2:4" x14ac:dyDescent="0.25">
      <c r="B3452" s="61">
        <v>3419</v>
      </c>
      <c r="C3452" s="61">
        <v>383713.84438991942</v>
      </c>
      <c r="D3452" s="102">
        <v>0.31332599946193107</v>
      </c>
    </row>
    <row r="3453" spans="2:4" x14ac:dyDescent="0.25">
      <c r="B3453" s="61">
        <v>3420</v>
      </c>
      <c r="C3453" s="61">
        <v>408894.46434738254</v>
      </c>
      <c r="D3453" s="102">
        <v>0.34186229361572829</v>
      </c>
    </row>
    <row r="3454" spans="2:4" x14ac:dyDescent="0.25">
      <c r="B3454" s="61">
        <v>3421</v>
      </c>
      <c r="C3454" s="61">
        <v>108955.14357333165</v>
      </c>
      <c r="D3454" s="102">
        <v>0.16293180579546429</v>
      </c>
    </row>
    <row r="3455" spans="2:4" x14ac:dyDescent="0.25">
      <c r="B3455" s="61">
        <v>3422</v>
      </c>
      <c r="C3455" s="61">
        <v>220125.93164758896</v>
      </c>
      <c r="D3455" s="102">
        <v>0.24361527469820277</v>
      </c>
    </row>
    <row r="3456" spans="2:4" x14ac:dyDescent="0.25">
      <c r="B3456" s="61">
        <v>3423</v>
      </c>
      <c r="C3456" s="61">
        <v>457865.780555128</v>
      </c>
      <c r="D3456" s="102">
        <v>0.41814841473925224</v>
      </c>
    </row>
    <row r="3457" spans="2:4" x14ac:dyDescent="0.25">
      <c r="B3457" s="61">
        <v>3424</v>
      </c>
      <c r="C3457" s="61">
        <v>129870.89275838446</v>
      </c>
      <c r="D3457" s="102">
        <v>0.15574137541547994</v>
      </c>
    </row>
    <row r="3458" spans="2:4" x14ac:dyDescent="0.25">
      <c r="B3458" s="61">
        <v>3425</v>
      </c>
      <c r="C3458" s="61">
        <v>549068.29945248959</v>
      </c>
      <c r="D3458" s="102">
        <v>0.54980246304237457</v>
      </c>
    </row>
    <row r="3459" spans="2:4" x14ac:dyDescent="0.25">
      <c r="B3459" s="61">
        <v>3426</v>
      </c>
      <c r="C3459" s="61">
        <v>370437.08136963542</v>
      </c>
      <c r="D3459" s="102">
        <v>0.32695493718469626</v>
      </c>
    </row>
    <row r="3460" spans="2:4" x14ac:dyDescent="0.25">
      <c r="B3460" s="61">
        <v>3427</v>
      </c>
      <c r="C3460" s="61">
        <v>253378.40502369893</v>
      </c>
      <c r="D3460" s="102">
        <v>0.23585591099638936</v>
      </c>
    </row>
    <row r="3461" spans="2:4" x14ac:dyDescent="0.25">
      <c r="B3461" s="61">
        <v>3428</v>
      </c>
      <c r="C3461" s="61">
        <v>85339.479492580926</v>
      </c>
      <c r="D3461" s="102">
        <v>0.17412861384505929</v>
      </c>
    </row>
    <row r="3462" spans="2:4" x14ac:dyDescent="0.25">
      <c r="B3462" s="61">
        <v>3429</v>
      </c>
      <c r="C3462" s="61">
        <v>61645.709487005195</v>
      </c>
      <c r="D3462" s="102">
        <v>0.11247943969034657</v>
      </c>
    </row>
    <row r="3463" spans="2:4" x14ac:dyDescent="0.25">
      <c r="B3463" s="61">
        <v>3430</v>
      </c>
      <c r="C3463" s="61">
        <v>414995.34861845814</v>
      </c>
      <c r="D3463" s="102">
        <v>0.35829443257248439</v>
      </c>
    </row>
    <row r="3464" spans="2:4" x14ac:dyDescent="0.25">
      <c r="B3464" s="61">
        <v>3431</v>
      </c>
      <c r="C3464" s="61">
        <v>311249.96384708595</v>
      </c>
      <c r="D3464" s="102">
        <v>0.31960475225178109</v>
      </c>
    </row>
    <row r="3465" spans="2:4" x14ac:dyDescent="0.25">
      <c r="B3465" s="61">
        <v>3432</v>
      </c>
      <c r="C3465" s="61">
        <v>218935.25986932567</v>
      </c>
      <c r="D3465" s="102">
        <v>0.24552750728385497</v>
      </c>
    </row>
    <row r="3466" spans="2:4" x14ac:dyDescent="0.25">
      <c r="B3466" s="61">
        <v>3433</v>
      </c>
      <c r="C3466" s="61">
        <v>104457.84796625935</v>
      </c>
      <c r="D3466" s="102">
        <v>0.15070325555652753</v>
      </c>
    </row>
    <row r="3467" spans="2:4" x14ac:dyDescent="0.25">
      <c r="B3467" s="61">
        <v>3434</v>
      </c>
      <c r="C3467" s="61">
        <v>142827.72776372591</v>
      </c>
      <c r="D3467" s="102">
        <v>0.188521885814529</v>
      </c>
    </row>
    <row r="3468" spans="2:4" x14ac:dyDescent="0.25">
      <c r="B3468" s="61">
        <v>3435</v>
      </c>
      <c r="C3468" s="61">
        <v>206113.45553518564</v>
      </c>
      <c r="D3468" s="102">
        <v>0.23644728298492512</v>
      </c>
    </row>
    <row r="3469" spans="2:4" x14ac:dyDescent="0.25">
      <c r="B3469" s="61">
        <v>3436</v>
      </c>
      <c r="C3469" s="61">
        <v>148829.29019430629</v>
      </c>
      <c r="D3469" s="102">
        <v>0.17228731980733691</v>
      </c>
    </row>
    <row r="3470" spans="2:4" x14ac:dyDescent="0.25">
      <c r="B3470" s="61">
        <v>3437</v>
      </c>
      <c r="C3470" s="61">
        <v>303083.48963312712</v>
      </c>
      <c r="D3470" s="102">
        <v>0.26061966798644431</v>
      </c>
    </row>
    <row r="3471" spans="2:4" x14ac:dyDescent="0.25">
      <c r="B3471" s="61">
        <v>3438</v>
      </c>
      <c r="C3471" s="61">
        <v>191313.3762551453</v>
      </c>
      <c r="D3471" s="102">
        <v>0.25581445476862852</v>
      </c>
    </row>
    <row r="3472" spans="2:4" x14ac:dyDescent="0.25">
      <c r="B3472" s="61">
        <v>3439</v>
      </c>
      <c r="C3472" s="61">
        <v>249512.49345708627</v>
      </c>
      <c r="D3472" s="102">
        <v>0.28771492583037328</v>
      </c>
    </row>
    <row r="3473" spans="2:4" x14ac:dyDescent="0.25">
      <c r="B3473" s="61">
        <v>3440</v>
      </c>
      <c r="C3473" s="61">
        <v>414178.70521323266</v>
      </c>
      <c r="D3473" s="102">
        <v>0.35191957038031085</v>
      </c>
    </row>
    <row r="3474" spans="2:4" x14ac:dyDescent="0.25">
      <c r="B3474" s="61">
        <v>3441</v>
      </c>
      <c r="C3474" s="61">
        <v>417960.20464368316</v>
      </c>
      <c r="D3474" s="102">
        <v>0.36485910142365019</v>
      </c>
    </row>
    <row r="3475" spans="2:4" x14ac:dyDescent="0.25">
      <c r="B3475" s="61">
        <v>3442</v>
      </c>
      <c r="C3475" s="61">
        <v>436591.68164927186</v>
      </c>
      <c r="D3475" s="102">
        <v>0.36986550568985876</v>
      </c>
    </row>
    <row r="3476" spans="2:4" x14ac:dyDescent="0.25">
      <c r="B3476" s="61">
        <v>3443</v>
      </c>
      <c r="C3476" s="61">
        <v>139725.76700067759</v>
      </c>
      <c r="D3476" s="102">
        <v>0.20600743082836859</v>
      </c>
    </row>
    <row r="3477" spans="2:4" x14ac:dyDescent="0.25">
      <c r="B3477" s="61">
        <v>3444</v>
      </c>
      <c r="C3477" s="61">
        <v>237448.56282054156</v>
      </c>
      <c r="D3477" s="102">
        <v>0.24194171890330018</v>
      </c>
    </row>
    <row r="3478" spans="2:4" x14ac:dyDescent="0.25">
      <c r="B3478" s="61">
        <v>3445</v>
      </c>
      <c r="C3478" s="61">
        <v>414725.56908352382</v>
      </c>
      <c r="D3478" s="102">
        <v>0.33962718310698681</v>
      </c>
    </row>
    <row r="3479" spans="2:4" x14ac:dyDescent="0.25">
      <c r="B3479" s="61">
        <v>3446</v>
      </c>
      <c r="C3479" s="61">
        <v>295321.78050896339</v>
      </c>
      <c r="D3479" s="102">
        <v>0.31819497524236984</v>
      </c>
    </row>
    <row r="3480" spans="2:4" x14ac:dyDescent="0.25">
      <c r="B3480" s="61">
        <v>3447</v>
      </c>
      <c r="C3480" s="61">
        <v>-6807.3342132437392</v>
      </c>
      <c r="D3480" s="102">
        <v>5.5204321244039622E-2</v>
      </c>
    </row>
    <row r="3481" spans="2:4" x14ac:dyDescent="0.25">
      <c r="B3481" s="61">
        <v>3448</v>
      </c>
      <c r="C3481" s="61">
        <v>242328.71074564627</v>
      </c>
      <c r="D3481" s="102">
        <v>0.24272846402335668</v>
      </c>
    </row>
    <row r="3482" spans="2:4" x14ac:dyDescent="0.25">
      <c r="B3482" s="61">
        <v>3449</v>
      </c>
      <c r="C3482" s="61">
        <v>317949.80721704022</v>
      </c>
      <c r="D3482" s="102">
        <v>0.31095122371607764</v>
      </c>
    </row>
    <row r="3483" spans="2:4" x14ac:dyDescent="0.25">
      <c r="B3483" s="61">
        <v>3450</v>
      </c>
      <c r="C3483" s="61">
        <v>266139.32271314145</v>
      </c>
      <c r="D3483" s="102">
        <v>0.28907909427342871</v>
      </c>
    </row>
    <row r="3484" spans="2:4" x14ac:dyDescent="0.25">
      <c r="B3484" s="61">
        <v>3451</v>
      </c>
      <c r="C3484" s="61">
        <v>221351.90616129246</v>
      </c>
      <c r="D3484" s="102">
        <v>0.23424415510535113</v>
      </c>
    </row>
    <row r="3485" spans="2:4" x14ac:dyDescent="0.25">
      <c r="B3485" s="61">
        <v>3452</v>
      </c>
      <c r="C3485" s="61">
        <v>518889.69601477205</v>
      </c>
      <c r="D3485" s="102">
        <v>0.41253083570083837</v>
      </c>
    </row>
    <row r="3486" spans="2:4" x14ac:dyDescent="0.25">
      <c r="B3486" s="61">
        <v>3453</v>
      </c>
      <c r="C3486" s="61">
        <v>228739.46745644929</v>
      </c>
      <c r="D3486" s="102">
        <v>0.22165726739431091</v>
      </c>
    </row>
    <row r="3487" spans="2:4" x14ac:dyDescent="0.25">
      <c r="B3487" s="61">
        <v>3454</v>
      </c>
      <c r="C3487" s="61">
        <v>476608.0640980046</v>
      </c>
      <c r="D3487" s="102">
        <v>0.38159725448251791</v>
      </c>
    </row>
    <row r="3488" spans="2:4" x14ac:dyDescent="0.25">
      <c r="B3488" s="61">
        <v>3455</v>
      </c>
      <c r="C3488" s="61">
        <v>255618.87399284064</v>
      </c>
      <c r="D3488" s="102">
        <v>0.24303923131471117</v>
      </c>
    </row>
    <row r="3489" spans="2:4" x14ac:dyDescent="0.25">
      <c r="B3489" s="61">
        <v>3456</v>
      </c>
      <c r="C3489" s="61">
        <v>331097.67636061262</v>
      </c>
      <c r="D3489" s="102">
        <v>0.29456125086325735</v>
      </c>
    </row>
    <row r="3490" spans="2:4" x14ac:dyDescent="0.25">
      <c r="B3490" s="61">
        <v>3457</v>
      </c>
      <c r="C3490" s="61">
        <v>438708.00943130418</v>
      </c>
      <c r="D3490" s="102">
        <v>0.44542770274977661</v>
      </c>
    </row>
    <row r="3491" spans="2:4" x14ac:dyDescent="0.25">
      <c r="B3491" s="61">
        <v>3458</v>
      </c>
      <c r="C3491" s="61">
        <v>322104.44596833724</v>
      </c>
      <c r="D3491" s="102">
        <v>0.31283504783730609</v>
      </c>
    </row>
    <row r="3492" spans="2:4" x14ac:dyDescent="0.25">
      <c r="B3492" s="61">
        <v>3459</v>
      </c>
      <c r="C3492" s="61">
        <v>81305.64548959356</v>
      </c>
      <c r="D3492" s="102">
        <v>0.11853020269291514</v>
      </c>
    </row>
    <row r="3493" spans="2:4" x14ac:dyDescent="0.25">
      <c r="B3493" s="61">
        <v>3460</v>
      </c>
      <c r="C3493" s="61">
        <v>120528.25052666734</v>
      </c>
      <c r="D3493" s="102">
        <v>0.14635993178231743</v>
      </c>
    </row>
    <row r="3494" spans="2:4" x14ac:dyDescent="0.25">
      <c r="B3494" s="61">
        <v>3461</v>
      </c>
      <c r="C3494" s="61">
        <v>290667.88819238078</v>
      </c>
      <c r="D3494" s="102">
        <v>0.31698580246922226</v>
      </c>
    </row>
    <row r="3495" spans="2:4" x14ac:dyDescent="0.25">
      <c r="B3495" s="61">
        <v>3462</v>
      </c>
      <c r="C3495" s="61">
        <v>301757.218044498</v>
      </c>
      <c r="D3495" s="102">
        <v>0.29968125500789933</v>
      </c>
    </row>
    <row r="3496" spans="2:4" x14ac:dyDescent="0.25">
      <c r="B3496" s="61">
        <v>3463</v>
      </c>
      <c r="C3496" s="61">
        <v>393802.27010992705</v>
      </c>
      <c r="D3496" s="102">
        <v>0.48469431241115979</v>
      </c>
    </row>
    <row r="3497" spans="2:4" x14ac:dyDescent="0.25">
      <c r="B3497" s="61">
        <v>3464</v>
      </c>
      <c r="C3497" s="61">
        <v>41908.526715493412</v>
      </c>
      <c r="D3497" s="102">
        <v>9.9651687787855714E-2</v>
      </c>
    </row>
    <row r="3498" spans="2:4" x14ac:dyDescent="0.25">
      <c r="B3498" s="61">
        <v>3465</v>
      </c>
      <c r="C3498" s="61">
        <v>47407.929995254148</v>
      </c>
      <c r="D3498" s="102">
        <v>9.9251710370241053E-2</v>
      </c>
    </row>
    <row r="3499" spans="2:4" x14ac:dyDescent="0.25">
      <c r="B3499" s="61">
        <v>3466</v>
      </c>
      <c r="C3499" s="61">
        <v>390614.15191407956</v>
      </c>
      <c r="D3499" s="102">
        <v>0.3988238255376817</v>
      </c>
    </row>
    <row r="3500" spans="2:4" x14ac:dyDescent="0.25">
      <c r="B3500" s="61">
        <v>3467</v>
      </c>
      <c r="C3500" s="61">
        <v>-6301.7576176272705</v>
      </c>
      <c r="D3500" s="102">
        <v>5.8943787828049432E-2</v>
      </c>
    </row>
    <row r="3501" spans="2:4" x14ac:dyDescent="0.25">
      <c r="B3501" s="61">
        <v>3468</v>
      </c>
      <c r="C3501" s="61">
        <v>386209.4543804985</v>
      </c>
      <c r="D3501" s="102">
        <v>0.34887017417130317</v>
      </c>
    </row>
    <row r="3502" spans="2:4" x14ac:dyDescent="0.25">
      <c r="B3502" s="61">
        <v>3469</v>
      </c>
      <c r="C3502" s="61">
        <v>288435.2859712583</v>
      </c>
      <c r="D3502" s="102">
        <v>0.29408533045731367</v>
      </c>
    </row>
    <row r="3503" spans="2:4" x14ac:dyDescent="0.25">
      <c r="B3503" s="61">
        <v>3470</v>
      </c>
      <c r="C3503" s="61">
        <v>151599.52468148142</v>
      </c>
      <c r="D3503" s="102">
        <v>0.19218883443054491</v>
      </c>
    </row>
    <row r="3504" spans="2:4" x14ac:dyDescent="0.25">
      <c r="B3504" s="61">
        <v>3471</v>
      </c>
      <c r="C3504" s="61">
        <v>222955.71577941824</v>
      </c>
      <c r="D3504" s="102">
        <v>0.23029092105430959</v>
      </c>
    </row>
    <row r="3505" spans="2:4" x14ac:dyDescent="0.25">
      <c r="B3505" s="61">
        <v>3472</v>
      </c>
      <c r="C3505" s="61">
        <v>125382.32630020066</v>
      </c>
      <c r="D3505" s="102">
        <v>0.16214827392713871</v>
      </c>
    </row>
    <row r="3506" spans="2:4" x14ac:dyDescent="0.25">
      <c r="B3506" s="61">
        <v>3473</v>
      </c>
      <c r="C3506" s="61">
        <v>176707.59549878386</v>
      </c>
      <c r="D3506" s="102">
        <v>0.18952966544033334</v>
      </c>
    </row>
    <row r="3507" spans="2:4" x14ac:dyDescent="0.25">
      <c r="B3507" s="61">
        <v>3474</v>
      </c>
      <c r="C3507" s="61">
        <v>382275.29324541078</v>
      </c>
      <c r="D3507" s="102">
        <v>0.31413296018515235</v>
      </c>
    </row>
    <row r="3508" spans="2:4" x14ac:dyDescent="0.25">
      <c r="B3508" s="61">
        <v>3475</v>
      </c>
      <c r="C3508" s="61">
        <v>44967.316420938645</v>
      </c>
      <c r="D3508" s="102">
        <v>0.10319979339907448</v>
      </c>
    </row>
    <row r="3509" spans="2:4" x14ac:dyDescent="0.25">
      <c r="B3509" s="61">
        <v>3476</v>
      </c>
      <c r="C3509" s="61">
        <v>367393.23803002457</v>
      </c>
      <c r="D3509" s="102">
        <v>0.35144224731553941</v>
      </c>
    </row>
    <row r="3510" spans="2:4" x14ac:dyDescent="0.25">
      <c r="B3510" s="61">
        <v>3477</v>
      </c>
      <c r="C3510" s="61">
        <v>312132.98580341297</v>
      </c>
      <c r="D3510" s="102">
        <v>0.30598744565759706</v>
      </c>
    </row>
    <row r="3511" spans="2:4" x14ac:dyDescent="0.25">
      <c r="B3511" s="61">
        <v>3478</v>
      </c>
      <c r="C3511" s="61">
        <v>299271.3419564541</v>
      </c>
      <c r="D3511" s="102">
        <v>0.28964216657239161</v>
      </c>
    </row>
    <row r="3512" spans="2:4" x14ac:dyDescent="0.25">
      <c r="B3512" s="61">
        <v>3479</v>
      </c>
      <c r="C3512" s="61">
        <v>184985.33862506098</v>
      </c>
      <c r="D3512" s="102">
        <v>0.18497716022801969</v>
      </c>
    </row>
    <row r="3513" spans="2:4" x14ac:dyDescent="0.25">
      <c r="B3513" s="61">
        <v>3480</v>
      </c>
      <c r="C3513" s="61">
        <v>57919.591281514615</v>
      </c>
      <c r="D3513" s="102">
        <v>0.12069484017192988</v>
      </c>
    </row>
    <row r="3514" spans="2:4" x14ac:dyDescent="0.25">
      <c r="B3514" s="61">
        <v>3481</v>
      </c>
      <c r="C3514" s="61">
        <v>172616.94803096692</v>
      </c>
      <c r="D3514" s="102">
        <v>0.21479298020526461</v>
      </c>
    </row>
    <row r="3515" spans="2:4" x14ac:dyDescent="0.25">
      <c r="B3515" s="61">
        <v>3482</v>
      </c>
      <c r="C3515" s="61">
        <v>342897.78651511716</v>
      </c>
      <c r="D3515" s="102">
        <v>0.30407781946748003</v>
      </c>
    </row>
    <row r="3516" spans="2:4" x14ac:dyDescent="0.25">
      <c r="B3516" s="61">
        <v>3483</v>
      </c>
      <c r="C3516" s="61">
        <v>346912.86709621153</v>
      </c>
      <c r="D3516" s="102">
        <v>0.32946355814547479</v>
      </c>
    </row>
    <row r="3517" spans="2:4" x14ac:dyDescent="0.25">
      <c r="B3517" s="61">
        <v>3484</v>
      </c>
      <c r="C3517" s="61">
        <v>40975.56061881606</v>
      </c>
      <c r="D3517" s="102">
        <v>9.2427491054308808E-2</v>
      </c>
    </row>
    <row r="3518" spans="2:4" x14ac:dyDescent="0.25">
      <c r="B3518" s="61">
        <v>3485</v>
      </c>
      <c r="C3518" s="61">
        <v>228602.68731673656</v>
      </c>
      <c r="D3518" s="102">
        <v>0.26848257693775879</v>
      </c>
    </row>
    <row r="3519" spans="2:4" x14ac:dyDescent="0.25">
      <c r="B3519" s="61">
        <v>3486</v>
      </c>
      <c r="C3519" s="61">
        <v>267516.61252812902</v>
      </c>
      <c r="D3519" s="102">
        <v>0.29881237481341927</v>
      </c>
    </row>
    <row r="3520" spans="2:4" x14ac:dyDescent="0.25">
      <c r="B3520" s="61">
        <v>3487</v>
      </c>
      <c r="C3520" s="61">
        <v>123878.39488501282</v>
      </c>
      <c r="D3520" s="102">
        <v>0.15586029619904385</v>
      </c>
    </row>
    <row r="3521" spans="2:4" x14ac:dyDescent="0.25">
      <c r="B3521" s="61">
        <v>3488</v>
      </c>
      <c r="C3521" s="61">
        <v>244615.70112765452</v>
      </c>
      <c r="D3521" s="102">
        <v>0.24593388895131896</v>
      </c>
    </row>
    <row r="3522" spans="2:4" x14ac:dyDescent="0.25">
      <c r="B3522" s="61">
        <v>3489</v>
      </c>
      <c r="C3522" s="61">
        <v>247551.95950269036</v>
      </c>
      <c r="D3522" s="102">
        <v>0.29417935361655045</v>
      </c>
    </row>
    <row r="3523" spans="2:4" x14ac:dyDescent="0.25">
      <c r="B3523" s="61">
        <v>3490</v>
      </c>
      <c r="C3523" s="61">
        <v>120874.60422074451</v>
      </c>
      <c r="D3523" s="102">
        <v>0.16271132261589383</v>
      </c>
    </row>
    <row r="3524" spans="2:4" x14ac:dyDescent="0.25">
      <c r="B3524" s="61">
        <v>3491</v>
      </c>
      <c r="C3524" s="61">
        <v>348731.59566420782</v>
      </c>
      <c r="D3524" s="102">
        <v>0.36499898026862265</v>
      </c>
    </row>
    <row r="3525" spans="2:4" x14ac:dyDescent="0.25">
      <c r="B3525" s="61">
        <v>3492</v>
      </c>
      <c r="C3525" s="61">
        <v>520716.21762988786</v>
      </c>
      <c r="D3525" s="102">
        <v>0.46734219712261593</v>
      </c>
    </row>
    <row r="3526" spans="2:4" x14ac:dyDescent="0.25">
      <c r="B3526" s="61">
        <v>3493</v>
      </c>
      <c r="C3526" s="61">
        <v>310339.56297996396</v>
      </c>
      <c r="D3526" s="102">
        <v>0.30141406468841248</v>
      </c>
    </row>
    <row r="3527" spans="2:4" x14ac:dyDescent="0.25">
      <c r="B3527" s="61">
        <v>3494</v>
      </c>
      <c r="C3527" s="61">
        <v>224527.69585042715</v>
      </c>
      <c r="D3527" s="102">
        <v>0.2751861903556807</v>
      </c>
    </row>
    <row r="3528" spans="2:4" x14ac:dyDescent="0.25">
      <c r="B3528" s="61">
        <v>3495</v>
      </c>
      <c r="C3528" s="61">
        <v>406368.84101501433</v>
      </c>
      <c r="D3528" s="102">
        <v>0.36982444904594414</v>
      </c>
    </row>
    <row r="3529" spans="2:4" x14ac:dyDescent="0.25">
      <c r="B3529" s="61">
        <v>3496</v>
      </c>
      <c r="C3529" s="61">
        <v>360325.18221100862</v>
      </c>
      <c r="D3529" s="102">
        <v>0.39632694666241441</v>
      </c>
    </row>
    <row r="3530" spans="2:4" x14ac:dyDescent="0.25">
      <c r="B3530" s="61">
        <v>3497</v>
      </c>
      <c r="C3530" s="61">
        <v>223075.37665030407</v>
      </c>
      <c r="D3530" s="102">
        <v>0.21265788532395935</v>
      </c>
    </row>
    <row r="3531" spans="2:4" x14ac:dyDescent="0.25">
      <c r="B3531" s="61">
        <v>3498</v>
      </c>
      <c r="C3531" s="61">
        <v>297753.66119843279</v>
      </c>
      <c r="D3531" s="102">
        <v>0.287528686701229</v>
      </c>
    </row>
    <row r="3532" spans="2:4" x14ac:dyDescent="0.25">
      <c r="B3532" s="61">
        <v>3499</v>
      </c>
      <c r="C3532" s="61">
        <v>193186.65548736509</v>
      </c>
      <c r="D3532" s="102">
        <v>0.19356749846263455</v>
      </c>
    </row>
    <row r="3533" spans="2:4" x14ac:dyDescent="0.25">
      <c r="B3533" s="61">
        <v>3500</v>
      </c>
      <c r="C3533" s="61">
        <v>176797.36667150655</v>
      </c>
      <c r="D3533" s="102">
        <v>0.21656018822778234</v>
      </c>
    </row>
    <row r="3534" spans="2:4" x14ac:dyDescent="0.25">
      <c r="B3534" s="61">
        <v>3501</v>
      </c>
      <c r="C3534" s="61">
        <v>156404.4708946016</v>
      </c>
      <c r="D3534" s="102">
        <v>0.17666307171996576</v>
      </c>
    </row>
    <row r="3535" spans="2:4" x14ac:dyDescent="0.25">
      <c r="B3535" s="61">
        <v>3502</v>
      </c>
      <c r="C3535" s="61">
        <v>274132.04234587785</v>
      </c>
      <c r="D3535" s="102">
        <v>0.31096089979013652</v>
      </c>
    </row>
    <row r="3536" spans="2:4" x14ac:dyDescent="0.25">
      <c r="B3536" s="61">
        <v>3503</v>
      </c>
      <c r="C3536" s="61">
        <v>26225.089471632789</v>
      </c>
      <c r="D3536" s="102">
        <v>8.5724887380366432E-2</v>
      </c>
    </row>
    <row r="3537" spans="2:4" x14ac:dyDescent="0.25">
      <c r="B3537" s="61">
        <v>3504</v>
      </c>
      <c r="C3537" s="61">
        <v>488846.40152481524</v>
      </c>
      <c r="D3537" s="102">
        <v>0.44022132957770155</v>
      </c>
    </row>
    <row r="3538" spans="2:4" x14ac:dyDescent="0.25">
      <c r="B3538" s="61">
        <v>3505</v>
      </c>
      <c r="C3538" s="61">
        <v>67359.666517212929</v>
      </c>
      <c r="D3538" s="102">
        <v>0.116339492836391</v>
      </c>
    </row>
    <row r="3539" spans="2:4" x14ac:dyDescent="0.25">
      <c r="B3539" s="61">
        <v>3506</v>
      </c>
      <c r="C3539" s="61">
        <v>157238.39699760935</v>
      </c>
      <c r="D3539" s="102">
        <v>0.18319551620081431</v>
      </c>
    </row>
    <row r="3540" spans="2:4" x14ac:dyDescent="0.25">
      <c r="B3540" s="61">
        <v>3507</v>
      </c>
      <c r="C3540" s="61">
        <v>365799.62856623321</v>
      </c>
      <c r="D3540" s="102">
        <v>0.335314128791522</v>
      </c>
    </row>
    <row r="3541" spans="2:4" x14ac:dyDescent="0.25">
      <c r="B3541" s="61">
        <v>3508</v>
      </c>
      <c r="C3541" s="61">
        <v>343779.60218268947</v>
      </c>
      <c r="D3541" s="102">
        <v>0.30800968288364539</v>
      </c>
    </row>
    <row r="3542" spans="2:4" x14ac:dyDescent="0.25">
      <c r="B3542" s="61">
        <v>3509</v>
      </c>
      <c r="C3542" s="61">
        <v>560903.99775349139</v>
      </c>
      <c r="D3542" s="102">
        <v>0.55236701977270952</v>
      </c>
    </row>
    <row r="3543" spans="2:4" x14ac:dyDescent="0.25">
      <c r="B3543" s="61">
        <v>3510</v>
      </c>
      <c r="C3543" s="61">
        <v>-19658.30909292883</v>
      </c>
      <c r="D3543" s="102">
        <v>4.9906550893175083E-2</v>
      </c>
    </row>
    <row r="3544" spans="2:4" x14ac:dyDescent="0.25">
      <c r="B3544" s="61">
        <v>3511</v>
      </c>
      <c r="C3544" s="61">
        <v>305051.25722384558</v>
      </c>
      <c r="D3544" s="102">
        <v>0.30272920187673291</v>
      </c>
    </row>
    <row r="3545" spans="2:4" x14ac:dyDescent="0.25">
      <c r="B3545" s="61">
        <v>3512</v>
      </c>
      <c r="C3545" s="61">
        <v>56106.821793063777</v>
      </c>
      <c r="D3545" s="102">
        <v>0.11479722453857422</v>
      </c>
    </row>
    <row r="3546" spans="2:4" x14ac:dyDescent="0.25">
      <c r="B3546" s="61">
        <v>3513</v>
      </c>
      <c r="C3546" s="61">
        <v>105957.59963432903</v>
      </c>
      <c r="D3546" s="102">
        <v>0.15763133007367358</v>
      </c>
    </row>
    <row r="3547" spans="2:4" x14ac:dyDescent="0.25">
      <c r="B3547" s="61">
        <v>3514</v>
      </c>
      <c r="C3547" s="61">
        <v>232782.57511522691</v>
      </c>
      <c r="D3547" s="102">
        <v>0.26499390829195346</v>
      </c>
    </row>
    <row r="3548" spans="2:4" x14ac:dyDescent="0.25">
      <c r="B3548" s="61">
        <v>3515</v>
      </c>
      <c r="C3548" s="61">
        <v>187266.27339825034</v>
      </c>
      <c r="D3548" s="102">
        <v>0.24499605867592544</v>
      </c>
    </row>
    <row r="3549" spans="2:4" x14ac:dyDescent="0.25">
      <c r="B3549" s="61">
        <v>3516</v>
      </c>
      <c r="C3549" s="61">
        <v>208839.95842557121</v>
      </c>
      <c r="D3549" s="102">
        <v>0.25959428251002881</v>
      </c>
    </row>
    <row r="3550" spans="2:4" x14ac:dyDescent="0.25">
      <c r="B3550" s="61">
        <v>3517</v>
      </c>
      <c r="C3550" s="61">
        <v>333161.41449163272</v>
      </c>
      <c r="D3550" s="102">
        <v>0.30954090851994231</v>
      </c>
    </row>
    <row r="3551" spans="2:4" x14ac:dyDescent="0.25">
      <c r="B3551" s="61">
        <v>3518</v>
      </c>
      <c r="C3551" s="61">
        <v>470856.21178320399</v>
      </c>
      <c r="D3551" s="102">
        <v>0.43577301531846002</v>
      </c>
    </row>
    <row r="3552" spans="2:4" x14ac:dyDescent="0.25">
      <c r="B3552" s="61">
        <v>3519</v>
      </c>
      <c r="C3552" s="61">
        <v>233604.12210298365</v>
      </c>
      <c r="D3552" s="102">
        <v>0.26731954126520674</v>
      </c>
    </row>
    <row r="3553" spans="2:4" x14ac:dyDescent="0.25">
      <c r="B3553" s="61">
        <v>3520</v>
      </c>
      <c r="C3553" s="61">
        <v>142315.29264321085</v>
      </c>
      <c r="D3553" s="102">
        <v>0.19423399462750801</v>
      </c>
    </row>
    <row r="3554" spans="2:4" x14ac:dyDescent="0.25">
      <c r="B3554" s="61">
        <v>3521</v>
      </c>
      <c r="C3554" s="61">
        <v>462280.34591435152</v>
      </c>
      <c r="D3554" s="102">
        <v>0.42208310766207457</v>
      </c>
    </row>
    <row r="3555" spans="2:4" x14ac:dyDescent="0.25">
      <c r="B3555" s="61">
        <v>3522</v>
      </c>
      <c r="C3555" s="61">
        <v>274214.79166476056</v>
      </c>
      <c r="D3555" s="102">
        <v>0.24274306102859056</v>
      </c>
    </row>
    <row r="3556" spans="2:4" x14ac:dyDescent="0.25">
      <c r="B3556" s="61">
        <v>3523</v>
      </c>
      <c r="C3556" s="61">
        <v>303548.93765686231</v>
      </c>
      <c r="D3556" s="102">
        <v>0.30091302267863651</v>
      </c>
    </row>
    <row r="3557" spans="2:4" x14ac:dyDescent="0.25">
      <c r="B3557" s="61">
        <v>3524</v>
      </c>
      <c r="C3557" s="61">
        <v>273146.29398618906</v>
      </c>
      <c r="D3557" s="102">
        <v>0.27622906445559603</v>
      </c>
    </row>
    <row r="3558" spans="2:4" x14ac:dyDescent="0.25">
      <c r="B3558" s="61">
        <v>3525</v>
      </c>
      <c r="C3558" s="61">
        <v>2242.9133179070777</v>
      </c>
      <c r="D3558" s="102">
        <v>6.540428177564972E-2</v>
      </c>
    </row>
    <row r="3559" spans="2:4" x14ac:dyDescent="0.25">
      <c r="B3559" s="61">
        <v>3526</v>
      </c>
      <c r="C3559" s="61">
        <v>216467.19716950622</v>
      </c>
      <c r="D3559" s="102">
        <v>0.21876988361536287</v>
      </c>
    </row>
    <row r="3560" spans="2:4" x14ac:dyDescent="0.25">
      <c r="B3560" s="61">
        <v>3527</v>
      </c>
      <c r="C3560" s="61">
        <v>311000.35881387023</v>
      </c>
      <c r="D3560" s="102">
        <v>0.32464998548544144</v>
      </c>
    </row>
    <row r="3561" spans="2:4" x14ac:dyDescent="0.25">
      <c r="B3561" s="61">
        <v>3528</v>
      </c>
      <c r="C3561" s="61">
        <v>437904.24454872543</v>
      </c>
      <c r="D3561" s="102">
        <v>0.35404768071500703</v>
      </c>
    </row>
    <row r="3562" spans="2:4" x14ac:dyDescent="0.25">
      <c r="B3562" s="61">
        <v>3529</v>
      </c>
      <c r="C3562" s="61">
        <v>478115.0046798737</v>
      </c>
      <c r="D3562" s="102">
        <v>0.47198886791528349</v>
      </c>
    </row>
    <row r="3563" spans="2:4" x14ac:dyDescent="0.25">
      <c r="B3563" s="61">
        <v>3530</v>
      </c>
      <c r="C3563" s="61">
        <v>299169.78364086617</v>
      </c>
      <c r="D3563" s="102">
        <v>0.33399699376561598</v>
      </c>
    </row>
    <row r="3564" spans="2:4" x14ac:dyDescent="0.25">
      <c r="B3564" s="61">
        <v>3531</v>
      </c>
      <c r="C3564" s="61">
        <v>260974.06336897612</v>
      </c>
      <c r="D3564" s="102">
        <v>0.24868698313442028</v>
      </c>
    </row>
    <row r="3565" spans="2:4" x14ac:dyDescent="0.25">
      <c r="B3565" s="61">
        <v>3532</v>
      </c>
      <c r="C3565" s="61">
        <v>184983.4687512432</v>
      </c>
      <c r="D3565" s="102">
        <v>0.21759187091150989</v>
      </c>
    </row>
    <row r="3566" spans="2:4" x14ac:dyDescent="0.25">
      <c r="B3566" s="61">
        <v>3533</v>
      </c>
      <c r="C3566" s="61">
        <v>15316.331726858043</v>
      </c>
      <c r="D3566" s="102">
        <v>7.4979140317898541E-2</v>
      </c>
    </row>
    <row r="3567" spans="2:4" x14ac:dyDescent="0.25">
      <c r="B3567" s="61">
        <v>3534</v>
      </c>
      <c r="C3567" s="61">
        <v>136072.98717027844</v>
      </c>
      <c r="D3567" s="102">
        <v>0.16850979813167322</v>
      </c>
    </row>
    <row r="3568" spans="2:4" x14ac:dyDescent="0.25">
      <c r="B3568" s="61">
        <v>3535</v>
      </c>
      <c r="C3568" s="61">
        <v>223566.34368182311</v>
      </c>
      <c r="D3568" s="102">
        <v>0.20822838599800919</v>
      </c>
    </row>
    <row r="3569" spans="2:4" x14ac:dyDescent="0.25">
      <c r="B3569" s="61">
        <v>3536</v>
      </c>
      <c r="C3569" s="61">
        <v>382.76724647998344</v>
      </c>
      <c r="D3569" s="102">
        <v>6.3737500787654167E-2</v>
      </c>
    </row>
    <row r="3570" spans="2:4" x14ac:dyDescent="0.25">
      <c r="B3570" s="61">
        <v>3537</v>
      </c>
      <c r="C3570" s="61">
        <v>304473.01014530775</v>
      </c>
      <c r="D3570" s="102">
        <v>0.34361082609218863</v>
      </c>
    </row>
    <row r="3571" spans="2:4" x14ac:dyDescent="0.25">
      <c r="B3571" s="61">
        <v>3538</v>
      </c>
      <c r="C3571" s="61">
        <v>101617.94397405168</v>
      </c>
      <c r="D3571" s="102">
        <v>0.14529700991046202</v>
      </c>
    </row>
    <row r="3572" spans="2:4" x14ac:dyDescent="0.25">
      <c r="B3572" s="61">
        <v>3539</v>
      </c>
      <c r="C3572" s="61">
        <v>184103.27720615314</v>
      </c>
      <c r="D3572" s="102">
        <v>0.20947074289280709</v>
      </c>
    </row>
    <row r="3573" spans="2:4" x14ac:dyDescent="0.25">
      <c r="B3573" s="61">
        <v>3540</v>
      </c>
      <c r="C3573" s="61">
        <v>215380.12965482974</v>
      </c>
      <c r="D3573" s="102">
        <v>0.26505304266183294</v>
      </c>
    </row>
    <row r="3574" spans="2:4" x14ac:dyDescent="0.25">
      <c r="B3574" s="61">
        <v>3541</v>
      </c>
      <c r="C3574" s="61">
        <v>308281.74079354957</v>
      </c>
      <c r="D3574" s="102">
        <v>0.28908148667276645</v>
      </c>
    </row>
    <row r="3575" spans="2:4" x14ac:dyDescent="0.25">
      <c r="B3575" s="61">
        <v>3542</v>
      </c>
      <c r="C3575" s="61">
        <v>260913.06954749872</v>
      </c>
      <c r="D3575" s="102">
        <v>0.25579872584295393</v>
      </c>
    </row>
    <row r="3576" spans="2:4" x14ac:dyDescent="0.25">
      <c r="B3576" s="61">
        <v>3543</v>
      </c>
      <c r="C3576" s="61">
        <v>-93720.532007157453</v>
      </c>
      <c r="D3576" s="102">
        <v>-3.5752844392805905E-2</v>
      </c>
    </row>
    <row r="3577" spans="2:4" x14ac:dyDescent="0.25">
      <c r="B3577" s="61">
        <v>3544</v>
      </c>
      <c r="C3577" s="61">
        <v>267120.78893405444</v>
      </c>
      <c r="D3577" s="102">
        <v>0.22438908622876097</v>
      </c>
    </row>
    <row r="3578" spans="2:4" x14ac:dyDescent="0.25">
      <c r="B3578" s="61">
        <v>3545</v>
      </c>
      <c r="C3578" s="61">
        <v>333914.22508346534</v>
      </c>
      <c r="D3578" s="102">
        <v>0.29775520245685105</v>
      </c>
    </row>
    <row r="3579" spans="2:4" x14ac:dyDescent="0.25">
      <c r="B3579" s="61">
        <v>3546</v>
      </c>
      <c r="C3579" s="61">
        <v>145486.11739907495</v>
      </c>
      <c r="D3579" s="102">
        <v>0.19403023982585776</v>
      </c>
    </row>
    <row r="3580" spans="2:4" x14ac:dyDescent="0.25">
      <c r="B3580" s="61">
        <v>3547</v>
      </c>
      <c r="C3580" s="61">
        <v>354684.71785170212</v>
      </c>
      <c r="D3580" s="102">
        <v>0.3261678709543443</v>
      </c>
    </row>
    <row r="3581" spans="2:4" x14ac:dyDescent="0.25">
      <c r="B3581" s="61">
        <v>3548</v>
      </c>
      <c r="C3581" s="61">
        <v>111334.67995250854</v>
      </c>
      <c r="D3581" s="102">
        <v>0.17678872941489288</v>
      </c>
    </row>
    <row r="3582" spans="2:4" x14ac:dyDescent="0.25">
      <c r="B3582" s="61">
        <v>3549</v>
      </c>
      <c r="C3582" s="61">
        <v>55538.888630778063</v>
      </c>
      <c r="D3582" s="102">
        <v>0.12575220179628266</v>
      </c>
    </row>
    <row r="3583" spans="2:4" x14ac:dyDescent="0.25">
      <c r="B3583" s="61">
        <v>3550</v>
      </c>
      <c r="C3583" s="61">
        <v>311521.13584410353</v>
      </c>
      <c r="D3583" s="102">
        <v>0.31626401660733983</v>
      </c>
    </row>
    <row r="3584" spans="2:4" x14ac:dyDescent="0.25">
      <c r="B3584" s="61">
        <v>3551</v>
      </c>
      <c r="C3584" s="61">
        <v>57421.081276641518</v>
      </c>
      <c r="D3584" s="102">
        <v>0.11043152881597473</v>
      </c>
    </row>
    <row r="3585" spans="2:4" x14ac:dyDescent="0.25">
      <c r="B3585" s="61">
        <v>3552</v>
      </c>
      <c r="C3585" s="61">
        <v>272496.57131082332</v>
      </c>
      <c r="D3585" s="102">
        <v>0.24348450651846298</v>
      </c>
    </row>
    <row r="3586" spans="2:4" x14ac:dyDescent="0.25">
      <c r="B3586" s="61">
        <v>3553</v>
      </c>
      <c r="C3586" s="61">
        <v>219181.8504489687</v>
      </c>
      <c r="D3586" s="102">
        <v>0.24825622831061245</v>
      </c>
    </row>
    <row r="3587" spans="2:4" x14ac:dyDescent="0.25">
      <c r="B3587" s="61">
        <v>3554</v>
      </c>
      <c r="C3587" s="61">
        <v>166968.2598192275</v>
      </c>
      <c r="D3587" s="102">
        <v>0.17396141182996794</v>
      </c>
    </row>
    <row r="3588" spans="2:4" x14ac:dyDescent="0.25">
      <c r="B3588" s="61">
        <v>3555</v>
      </c>
      <c r="C3588" s="61">
        <v>275790.21062906343</v>
      </c>
      <c r="D3588" s="102">
        <v>0.2701670755280734</v>
      </c>
    </row>
    <row r="3589" spans="2:4" x14ac:dyDescent="0.25">
      <c r="B3589" s="61">
        <v>3556</v>
      </c>
      <c r="C3589" s="61">
        <v>228162.77224499732</v>
      </c>
      <c r="D3589" s="102">
        <v>0.24008121509073566</v>
      </c>
    </row>
    <row r="3590" spans="2:4" x14ac:dyDescent="0.25">
      <c r="B3590" s="61">
        <v>3557</v>
      </c>
      <c r="C3590" s="61">
        <v>269800.60117565468</v>
      </c>
      <c r="D3590" s="102">
        <v>0.30721142356985109</v>
      </c>
    </row>
    <row r="3591" spans="2:4" x14ac:dyDescent="0.25">
      <c r="B3591" s="61">
        <v>3558</v>
      </c>
      <c r="C3591" s="61">
        <v>258220.48218822235</v>
      </c>
      <c r="D3591" s="102">
        <v>0.27724122384683225</v>
      </c>
    </row>
    <row r="3592" spans="2:4" x14ac:dyDescent="0.25">
      <c r="B3592" s="61">
        <v>3559</v>
      </c>
      <c r="C3592" s="61">
        <v>231714.52726302831</v>
      </c>
      <c r="D3592" s="102">
        <v>0.22951071031355408</v>
      </c>
    </row>
    <row r="3593" spans="2:4" x14ac:dyDescent="0.25">
      <c r="B3593" s="61">
        <v>3560</v>
      </c>
      <c r="C3593" s="61">
        <v>-36440.136295018776</v>
      </c>
      <c r="D3593" s="102">
        <v>3.7596877923663508E-2</v>
      </c>
    </row>
    <row r="3594" spans="2:4" x14ac:dyDescent="0.25">
      <c r="B3594" s="61">
        <v>3561</v>
      </c>
      <c r="C3594" s="61">
        <v>168813.35616007552</v>
      </c>
      <c r="D3594" s="102">
        <v>0.21300501561152352</v>
      </c>
    </row>
    <row r="3595" spans="2:4" x14ac:dyDescent="0.25">
      <c r="B3595" s="61">
        <v>3562</v>
      </c>
      <c r="C3595" s="61">
        <v>356952.03660963697</v>
      </c>
      <c r="D3595" s="102">
        <v>0.31953226913178034</v>
      </c>
    </row>
    <row r="3596" spans="2:4" x14ac:dyDescent="0.25">
      <c r="B3596" s="61">
        <v>3563</v>
      </c>
      <c r="C3596" s="61">
        <v>446015.20146692824</v>
      </c>
      <c r="D3596" s="102">
        <v>0.37064202680795355</v>
      </c>
    </row>
    <row r="3597" spans="2:4" x14ac:dyDescent="0.25">
      <c r="B3597" s="61">
        <v>3564</v>
      </c>
      <c r="C3597" s="61">
        <v>319388.12836429151</v>
      </c>
      <c r="D3597" s="102">
        <v>0.27483690082146328</v>
      </c>
    </row>
    <row r="3598" spans="2:4" x14ac:dyDescent="0.25">
      <c r="B3598" s="61">
        <v>3565</v>
      </c>
      <c r="C3598" s="61">
        <v>128170.17521373392</v>
      </c>
      <c r="D3598" s="102">
        <v>0.16290288956026977</v>
      </c>
    </row>
    <row r="3599" spans="2:4" x14ac:dyDescent="0.25">
      <c r="B3599" s="61">
        <v>3566</v>
      </c>
      <c r="C3599" s="61">
        <v>56280.208016153076</v>
      </c>
      <c r="D3599" s="102">
        <v>0.10646815190181913</v>
      </c>
    </row>
    <row r="3600" spans="2:4" x14ac:dyDescent="0.25">
      <c r="B3600" s="61">
        <v>3567</v>
      </c>
      <c r="C3600" s="61">
        <v>338504.06723753409</v>
      </c>
      <c r="D3600" s="102">
        <v>0.368491765233254</v>
      </c>
    </row>
    <row r="3601" spans="2:4" x14ac:dyDescent="0.25">
      <c r="B3601" s="61">
        <v>3568</v>
      </c>
      <c r="C3601" s="61">
        <v>219405.515092502</v>
      </c>
      <c r="D3601" s="102">
        <v>0.26128839934066028</v>
      </c>
    </row>
    <row r="3602" spans="2:4" x14ac:dyDescent="0.25">
      <c r="B3602" s="61">
        <v>3569</v>
      </c>
      <c r="C3602" s="61">
        <v>470148.6769012576</v>
      </c>
      <c r="D3602" s="102">
        <v>0.41541277574102753</v>
      </c>
    </row>
    <row r="3603" spans="2:4" x14ac:dyDescent="0.25">
      <c r="B3603" s="61">
        <v>3570</v>
      </c>
      <c r="C3603" s="61">
        <v>400374.95584146085</v>
      </c>
      <c r="D3603" s="102">
        <v>0.42125805397521709</v>
      </c>
    </row>
    <row r="3604" spans="2:4" x14ac:dyDescent="0.25">
      <c r="B3604" s="61">
        <v>3571</v>
      </c>
      <c r="C3604" s="61">
        <v>360765.46295066027</v>
      </c>
      <c r="D3604" s="102">
        <v>0.29596340643986307</v>
      </c>
    </row>
    <row r="3605" spans="2:4" x14ac:dyDescent="0.25">
      <c r="B3605" s="61">
        <v>3572</v>
      </c>
      <c r="C3605" s="61">
        <v>362771.5138874196</v>
      </c>
      <c r="D3605" s="102">
        <v>0.34383765348652995</v>
      </c>
    </row>
    <row r="3606" spans="2:4" x14ac:dyDescent="0.25">
      <c r="B3606" s="61">
        <v>3573</v>
      </c>
      <c r="C3606" s="61">
        <v>67271.048956204846</v>
      </c>
      <c r="D3606" s="102">
        <v>0.12416483062693029</v>
      </c>
    </row>
    <row r="3607" spans="2:4" x14ac:dyDescent="0.25">
      <c r="B3607" s="61">
        <v>3574</v>
      </c>
      <c r="C3607" s="61">
        <v>345026.67080292688</v>
      </c>
      <c r="D3607" s="102">
        <v>0.33841600238338532</v>
      </c>
    </row>
    <row r="3608" spans="2:4" x14ac:dyDescent="0.25">
      <c r="B3608" s="61">
        <v>3575</v>
      </c>
      <c r="C3608" s="61">
        <v>460665.55772558029</v>
      </c>
      <c r="D3608" s="102">
        <v>0.37762281917661755</v>
      </c>
    </row>
    <row r="3609" spans="2:4" x14ac:dyDescent="0.25">
      <c r="B3609" s="61">
        <v>3576</v>
      </c>
      <c r="C3609" s="61">
        <v>254691.86183291324</v>
      </c>
      <c r="D3609" s="102">
        <v>0.25732646765084444</v>
      </c>
    </row>
    <row r="3610" spans="2:4" x14ac:dyDescent="0.25">
      <c r="B3610" s="61">
        <v>3577</v>
      </c>
      <c r="C3610" s="61">
        <v>317782.24861693557</v>
      </c>
      <c r="D3610" s="102">
        <v>0.28237212692737312</v>
      </c>
    </row>
    <row r="3611" spans="2:4" x14ac:dyDescent="0.25">
      <c r="B3611" s="61">
        <v>3578</v>
      </c>
      <c r="C3611" s="61">
        <v>308622.67111834034</v>
      </c>
      <c r="D3611" s="102">
        <v>0.34978755555612029</v>
      </c>
    </row>
    <row r="3612" spans="2:4" x14ac:dyDescent="0.25">
      <c r="B3612" s="61">
        <v>3579</v>
      </c>
      <c r="C3612" s="61">
        <v>459273.25495201547</v>
      </c>
      <c r="D3612" s="102">
        <v>0.45244174446483498</v>
      </c>
    </row>
    <row r="3613" spans="2:4" x14ac:dyDescent="0.25">
      <c r="B3613" s="61">
        <v>3580</v>
      </c>
      <c r="C3613" s="61">
        <v>553658.37789989624</v>
      </c>
      <c r="D3613" s="102">
        <v>0.47826378775861889</v>
      </c>
    </row>
    <row r="3614" spans="2:4" x14ac:dyDescent="0.25">
      <c r="B3614" s="61">
        <v>3581</v>
      </c>
      <c r="C3614" s="61">
        <v>206321.03282584646</v>
      </c>
      <c r="D3614" s="102">
        <v>0.27522401974231459</v>
      </c>
    </row>
    <row r="3615" spans="2:4" x14ac:dyDescent="0.25">
      <c r="B3615" s="61">
        <v>3582</v>
      </c>
      <c r="C3615" s="61">
        <v>154979.64937531587</v>
      </c>
      <c r="D3615" s="102">
        <v>0.20039725048124279</v>
      </c>
    </row>
    <row r="3616" spans="2:4" x14ac:dyDescent="0.25">
      <c r="B3616" s="61">
        <v>3583</v>
      </c>
      <c r="C3616" s="61">
        <v>285860.75920915417</v>
      </c>
      <c r="D3616" s="102">
        <v>0.29061827990435618</v>
      </c>
    </row>
    <row r="3617" spans="2:4" x14ac:dyDescent="0.25">
      <c r="B3617" s="61">
        <v>3584</v>
      </c>
      <c r="C3617" s="61">
        <v>236506.26930948999</v>
      </c>
      <c r="D3617" s="102">
        <v>0.30353565812503125</v>
      </c>
    </row>
    <row r="3618" spans="2:4" x14ac:dyDescent="0.25">
      <c r="B3618" s="61">
        <v>3585</v>
      </c>
      <c r="C3618" s="61">
        <v>214305.03648423741</v>
      </c>
      <c r="D3618" s="102">
        <v>0.25059410335838517</v>
      </c>
    </row>
    <row r="3619" spans="2:4" x14ac:dyDescent="0.25">
      <c r="B3619" s="61">
        <v>3586</v>
      </c>
      <c r="C3619" s="61">
        <v>281627.34636790352</v>
      </c>
      <c r="D3619" s="102">
        <v>0.27831931057531656</v>
      </c>
    </row>
    <row r="3620" spans="2:4" x14ac:dyDescent="0.25">
      <c r="B3620" s="61">
        <v>3587</v>
      </c>
      <c r="C3620" s="61">
        <v>209342.72873453901</v>
      </c>
      <c r="D3620" s="102">
        <v>0.2372349804271674</v>
      </c>
    </row>
    <row r="3621" spans="2:4" x14ac:dyDescent="0.25">
      <c r="B3621" s="61">
        <v>3588</v>
      </c>
      <c r="C3621" s="61">
        <v>413625.27261192934</v>
      </c>
      <c r="D3621" s="102">
        <v>0.39677576688884697</v>
      </c>
    </row>
    <row r="3622" spans="2:4" x14ac:dyDescent="0.25">
      <c r="B3622" s="61">
        <v>3589</v>
      </c>
      <c r="C3622" s="61">
        <v>-19098.16161896789</v>
      </c>
      <c r="D3622" s="102">
        <v>4.9201971165535152E-2</v>
      </c>
    </row>
    <row r="3623" spans="2:4" x14ac:dyDescent="0.25">
      <c r="B3623" s="61">
        <v>3590</v>
      </c>
      <c r="C3623" s="61">
        <v>147748.62002091506</v>
      </c>
      <c r="D3623" s="102">
        <v>0.18220801497268679</v>
      </c>
    </row>
    <row r="3624" spans="2:4" x14ac:dyDescent="0.25">
      <c r="B3624" s="61">
        <v>3591</v>
      </c>
      <c r="C3624" s="61">
        <v>344596.26920944545</v>
      </c>
      <c r="D3624" s="102">
        <v>0.33252636469667651</v>
      </c>
    </row>
    <row r="3625" spans="2:4" x14ac:dyDescent="0.25">
      <c r="B3625" s="61">
        <v>3592</v>
      </c>
      <c r="C3625" s="61">
        <v>417095.15100347251</v>
      </c>
      <c r="D3625" s="102">
        <v>0.39898387290965021</v>
      </c>
    </row>
    <row r="3626" spans="2:4" x14ac:dyDescent="0.25">
      <c r="B3626" s="61">
        <v>3593</v>
      </c>
      <c r="C3626" s="61">
        <v>167331.06038902025</v>
      </c>
      <c r="D3626" s="102">
        <v>0.15596912918989658</v>
      </c>
    </row>
    <row r="3627" spans="2:4" x14ac:dyDescent="0.25">
      <c r="B3627" s="61">
        <v>3594</v>
      </c>
      <c r="C3627" s="61">
        <v>293773.98852111655</v>
      </c>
      <c r="D3627" s="102">
        <v>0.2900628602924602</v>
      </c>
    </row>
    <row r="3628" spans="2:4" x14ac:dyDescent="0.25">
      <c r="B3628" s="61">
        <v>3595</v>
      </c>
      <c r="C3628" s="61">
        <v>365770.37607508956</v>
      </c>
      <c r="D3628" s="102">
        <v>0.31738169292259388</v>
      </c>
    </row>
    <row r="3629" spans="2:4" x14ac:dyDescent="0.25">
      <c r="B3629" s="61">
        <v>3596</v>
      </c>
      <c r="C3629" s="61">
        <v>88418.492129757942</v>
      </c>
      <c r="D3629" s="102">
        <v>0.12736113096323298</v>
      </c>
    </row>
    <row r="3630" spans="2:4" x14ac:dyDescent="0.25">
      <c r="B3630" s="61">
        <v>3597</v>
      </c>
      <c r="C3630" s="61">
        <v>243215.75974662392</v>
      </c>
      <c r="D3630" s="102">
        <v>0.24516876309077662</v>
      </c>
    </row>
    <row r="3631" spans="2:4" x14ac:dyDescent="0.25">
      <c r="B3631" s="61">
        <v>3598</v>
      </c>
      <c r="C3631" s="61">
        <v>75726.757101491792</v>
      </c>
      <c r="D3631" s="102">
        <v>0.1078098711787987</v>
      </c>
    </row>
    <row r="3632" spans="2:4" x14ac:dyDescent="0.25">
      <c r="B3632" s="61">
        <v>3599</v>
      </c>
      <c r="C3632" s="61">
        <v>165651.89443817805</v>
      </c>
      <c r="D3632" s="102">
        <v>0.20507896859936103</v>
      </c>
    </row>
    <row r="3633" spans="2:4" x14ac:dyDescent="0.25">
      <c r="B3633" s="61">
        <v>3600</v>
      </c>
      <c r="C3633" s="61">
        <v>171790.0455024757</v>
      </c>
      <c r="D3633" s="102">
        <v>0.20704857684633193</v>
      </c>
    </row>
    <row r="3634" spans="2:4" x14ac:dyDescent="0.25">
      <c r="B3634" s="61">
        <v>3601</v>
      </c>
      <c r="C3634" s="61">
        <v>132018.2276415737</v>
      </c>
      <c r="D3634" s="102">
        <v>0.1450292978319645</v>
      </c>
    </row>
    <row r="3635" spans="2:4" x14ac:dyDescent="0.25">
      <c r="B3635" s="61">
        <v>3602</v>
      </c>
      <c r="C3635" s="61">
        <v>-121.05130470002769</v>
      </c>
      <c r="D3635" s="102">
        <v>6.3295046765751151E-2</v>
      </c>
    </row>
    <row r="3636" spans="2:4" x14ac:dyDescent="0.25">
      <c r="B3636" s="61">
        <v>3603</v>
      </c>
      <c r="C3636" s="61">
        <v>353027.24328154477</v>
      </c>
      <c r="D3636" s="102">
        <v>0.39956883826734191</v>
      </c>
    </row>
    <row r="3637" spans="2:4" x14ac:dyDescent="0.25">
      <c r="B3637" s="61">
        <v>3604</v>
      </c>
      <c r="C3637" s="61">
        <v>299440.28556733578</v>
      </c>
      <c r="D3637" s="102">
        <v>0.29921782329785507</v>
      </c>
    </row>
    <row r="3638" spans="2:4" x14ac:dyDescent="0.25">
      <c r="B3638" s="61">
        <v>3605</v>
      </c>
      <c r="C3638" s="61">
        <v>209804.83209961443</v>
      </c>
      <c r="D3638" s="102">
        <v>0.22186463746768337</v>
      </c>
    </row>
    <row r="3639" spans="2:4" x14ac:dyDescent="0.25">
      <c r="B3639" s="61">
        <v>3606</v>
      </c>
      <c r="C3639" s="61">
        <v>250990.51234793349</v>
      </c>
      <c r="D3639" s="102">
        <v>0.21126112118158402</v>
      </c>
    </row>
    <row r="3640" spans="2:4" x14ac:dyDescent="0.25">
      <c r="B3640" s="61">
        <v>3607</v>
      </c>
      <c r="C3640" s="61">
        <v>621178.22551451891</v>
      </c>
      <c r="D3640" s="102">
        <v>0.51552966730436522</v>
      </c>
    </row>
    <row r="3641" spans="2:4" x14ac:dyDescent="0.25">
      <c r="B3641" s="61">
        <v>3608</v>
      </c>
      <c r="C3641" s="61">
        <v>513581.21795998083</v>
      </c>
      <c r="D3641" s="102">
        <v>0.42622172495815591</v>
      </c>
    </row>
    <row r="3642" spans="2:4" x14ac:dyDescent="0.25">
      <c r="B3642" s="61">
        <v>3609</v>
      </c>
      <c r="C3642" s="61">
        <v>347857.29863931495</v>
      </c>
      <c r="D3642" s="102">
        <v>0.33114305482738837</v>
      </c>
    </row>
    <row r="3643" spans="2:4" x14ac:dyDescent="0.25">
      <c r="B3643" s="61">
        <v>3610</v>
      </c>
      <c r="C3643" s="61">
        <v>260535.90609583014</v>
      </c>
      <c r="D3643" s="102">
        <v>0.25282119009019288</v>
      </c>
    </row>
    <row r="3644" spans="2:4" x14ac:dyDescent="0.25">
      <c r="B3644" s="61">
        <v>3611</v>
      </c>
      <c r="C3644" s="61">
        <v>80701.100007546018</v>
      </c>
      <c r="D3644" s="102">
        <v>0.14019890306814986</v>
      </c>
    </row>
    <row r="3645" spans="2:4" x14ac:dyDescent="0.25">
      <c r="B3645" s="61">
        <v>3612</v>
      </c>
      <c r="C3645" s="61">
        <v>107950.2330904032</v>
      </c>
      <c r="D3645" s="102">
        <v>0.14804165625498156</v>
      </c>
    </row>
    <row r="3646" spans="2:4" x14ac:dyDescent="0.25">
      <c r="B3646" s="61">
        <v>3613</v>
      </c>
      <c r="C3646" s="61">
        <v>430325.75951360015</v>
      </c>
      <c r="D3646" s="102">
        <v>0.42940985889144767</v>
      </c>
    </row>
    <row r="3647" spans="2:4" x14ac:dyDescent="0.25">
      <c r="B3647" s="61">
        <v>3614</v>
      </c>
      <c r="C3647" s="61">
        <v>104104.04097698251</v>
      </c>
      <c r="D3647" s="102">
        <v>0.1690922349383619</v>
      </c>
    </row>
    <row r="3648" spans="2:4" x14ac:dyDescent="0.25">
      <c r="B3648" s="61">
        <v>3615</v>
      </c>
      <c r="C3648" s="61">
        <v>129552.99346497946</v>
      </c>
      <c r="D3648" s="102">
        <v>0.17889557477985663</v>
      </c>
    </row>
    <row r="3649" spans="2:4" x14ac:dyDescent="0.25">
      <c r="B3649" s="61">
        <v>3616</v>
      </c>
      <c r="C3649" s="61">
        <v>515658.57866008091</v>
      </c>
      <c r="D3649" s="102">
        <v>0.51558578980695224</v>
      </c>
    </row>
    <row r="3650" spans="2:4" x14ac:dyDescent="0.25">
      <c r="B3650" s="61">
        <v>3617</v>
      </c>
      <c r="C3650" s="61">
        <v>250856.91091441526</v>
      </c>
      <c r="D3650" s="102">
        <v>0.33610718506818449</v>
      </c>
    </row>
    <row r="3651" spans="2:4" x14ac:dyDescent="0.25">
      <c r="B3651" s="61">
        <v>3618</v>
      </c>
      <c r="C3651" s="61">
        <v>222014.43743763398</v>
      </c>
      <c r="D3651" s="102">
        <v>0.22953422691937431</v>
      </c>
    </row>
    <row r="3652" spans="2:4" x14ac:dyDescent="0.25">
      <c r="B3652" s="61">
        <v>3619</v>
      </c>
      <c r="C3652" s="61">
        <v>139000.88346697262</v>
      </c>
      <c r="D3652" s="102">
        <v>0.15341758299630714</v>
      </c>
    </row>
    <row r="3653" spans="2:4" x14ac:dyDescent="0.25">
      <c r="B3653" s="61">
        <v>3620</v>
      </c>
      <c r="C3653" s="61">
        <v>166466.69548910763</v>
      </c>
      <c r="D3653" s="102">
        <v>0.20191617243126725</v>
      </c>
    </row>
    <row r="3654" spans="2:4" x14ac:dyDescent="0.25">
      <c r="B3654" s="61">
        <v>3621</v>
      </c>
      <c r="C3654" s="61">
        <v>284349.25710278272</v>
      </c>
      <c r="D3654" s="102">
        <v>0.28169491487968412</v>
      </c>
    </row>
    <row r="3655" spans="2:4" x14ac:dyDescent="0.25">
      <c r="B3655" s="61">
        <v>3622</v>
      </c>
      <c r="C3655" s="61">
        <v>344958.8114498473</v>
      </c>
      <c r="D3655" s="102">
        <v>0.2943368920546543</v>
      </c>
    </row>
    <row r="3656" spans="2:4" x14ac:dyDescent="0.25">
      <c r="B3656" s="61">
        <v>3623</v>
      </c>
      <c r="C3656" s="61">
        <v>278834.65465127933</v>
      </c>
      <c r="D3656" s="102">
        <v>0.29458455116815618</v>
      </c>
    </row>
    <row r="3657" spans="2:4" x14ac:dyDescent="0.25">
      <c r="B3657" s="61">
        <v>3624</v>
      </c>
      <c r="C3657" s="61">
        <v>279488.19034720003</v>
      </c>
      <c r="D3657" s="102">
        <v>0.36979199440275923</v>
      </c>
    </row>
    <row r="3658" spans="2:4" x14ac:dyDescent="0.25">
      <c r="B3658" s="61">
        <v>3625</v>
      </c>
      <c r="C3658" s="61">
        <v>115307.10009727429</v>
      </c>
      <c r="D3658" s="102">
        <v>0.13820328511185087</v>
      </c>
    </row>
    <row r="3659" spans="2:4" x14ac:dyDescent="0.25">
      <c r="B3659" s="61">
        <v>3626</v>
      </c>
      <c r="C3659" s="61">
        <v>122499.65806250996</v>
      </c>
      <c r="D3659" s="102">
        <v>0.17446906668090345</v>
      </c>
    </row>
    <row r="3660" spans="2:4" x14ac:dyDescent="0.25">
      <c r="B3660" s="61">
        <v>3627</v>
      </c>
      <c r="C3660" s="61">
        <v>40834.477895471791</v>
      </c>
      <c r="D3660" s="102">
        <v>0.10773136583670473</v>
      </c>
    </row>
    <row r="3661" spans="2:4" x14ac:dyDescent="0.25">
      <c r="B3661" s="61">
        <v>3628</v>
      </c>
      <c r="C3661" s="61">
        <v>219024.69224167895</v>
      </c>
      <c r="D3661" s="102">
        <v>0.26678934875368321</v>
      </c>
    </row>
    <row r="3662" spans="2:4" x14ac:dyDescent="0.25">
      <c r="B3662" s="61">
        <v>3629</v>
      </c>
      <c r="C3662" s="61">
        <v>233745.67340438941</v>
      </c>
      <c r="D3662" s="102">
        <v>0.22590713370812598</v>
      </c>
    </row>
    <row r="3663" spans="2:4" x14ac:dyDescent="0.25">
      <c r="B3663" s="61">
        <v>3630</v>
      </c>
      <c r="C3663" s="61">
        <v>405667.2073107328</v>
      </c>
      <c r="D3663" s="102">
        <v>0.40690631144566192</v>
      </c>
    </row>
    <row r="3664" spans="2:4" x14ac:dyDescent="0.25">
      <c r="B3664" s="61">
        <v>3631</v>
      </c>
      <c r="C3664" s="61">
        <v>457397.99195243034</v>
      </c>
      <c r="D3664" s="102">
        <v>0.40373294891356659</v>
      </c>
    </row>
    <row r="3665" spans="2:4" x14ac:dyDescent="0.25">
      <c r="B3665" s="61">
        <v>3632</v>
      </c>
      <c r="C3665" s="61">
        <v>354691.26051944192</v>
      </c>
      <c r="D3665" s="102">
        <v>0.28880053176058307</v>
      </c>
    </row>
    <row r="3666" spans="2:4" x14ac:dyDescent="0.25">
      <c r="B3666" s="61">
        <v>3633</v>
      </c>
      <c r="C3666" s="61">
        <v>410324.35816917417</v>
      </c>
      <c r="D3666" s="102">
        <v>0.33972918514005057</v>
      </c>
    </row>
    <row r="3667" spans="2:4" x14ac:dyDescent="0.25">
      <c r="B3667" s="61">
        <v>3634</v>
      </c>
      <c r="C3667" s="61">
        <v>456673.05892110465</v>
      </c>
      <c r="D3667" s="102">
        <v>0.40542328862591259</v>
      </c>
    </row>
    <row r="3668" spans="2:4" x14ac:dyDescent="0.25">
      <c r="B3668" s="61">
        <v>3635</v>
      </c>
      <c r="C3668" s="61">
        <v>155889.53381163004</v>
      </c>
      <c r="D3668" s="102">
        <v>0.19078795351078037</v>
      </c>
    </row>
    <row r="3669" spans="2:4" x14ac:dyDescent="0.25">
      <c r="B3669" s="61">
        <v>3636</v>
      </c>
      <c r="C3669" s="61">
        <v>350903.01419242856</v>
      </c>
      <c r="D3669" s="102">
        <v>0.33081863028667202</v>
      </c>
    </row>
    <row r="3670" spans="2:4" x14ac:dyDescent="0.25">
      <c r="B3670" s="61">
        <v>3637</v>
      </c>
      <c r="C3670" s="61">
        <v>-25280.834176993463</v>
      </c>
      <c r="D3670" s="102">
        <v>4.2735330981533481E-2</v>
      </c>
    </row>
    <row r="3671" spans="2:4" x14ac:dyDescent="0.25">
      <c r="B3671" s="61">
        <v>3638</v>
      </c>
      <c r="C3671" s="61">
        <v>415943.61130536813</v>
      </c>
      <c r="D3671" s="102">
        <v>0.35934077611512638</v>
      </c>
    </row>
    <row r="3672" spans="2:4" x14ac:dyDescent="0.25">
      <c r="B3672" s="61">
        <v>3639</v>
      </c>
      <c r="C3672" s="61">
        <v>348534.70275294932</v>
      </c>
      <c r="D3672" s="102">
        <v>0.33280024498204885</v>
      </c>
    </row>
    <row r="3673" spans="2:4" x14ac:dyDescent="0.25">
      <c r="B3673" s="61">
        <v>3640</v>
      </c>
      <c r="C3673" s="61">
        <v>491117.8157342819</v>
      </c>
      <c r="D3673" s="102">
        <v>0.57108944313549781</v>
      </c>
    </row>
    <row r="3674" spans="2:4" x14ac:dyDescent="0.25">
      <c r="B3674" s="61">
        <v>3641</v>
      </c>
      <c r="C3674" s="61">
        <v>145264.90884699253</v>
      </c>
      <c r="D3674" s="102">
        <v>0.19249033574550678</v>
      </c>
    </row>
    <row r="3675" spans="2:4" x14ac:dyDescent="0.25">
      <c r="B3675" s="61">
        <v>3642</v>
      </c>
      <c r="C3675" s="61">
        <v>185034.78465328913</v>
      </c>
      <c r="D3675" s="102">
        <v>0.23279120871961134</v>
      </c>
    </row>
    <row r="3676" spans="2:4" x14ac:dyDescent="0.25">
      <c r="B3676" s="61">
        <v>3643</v>
      </c>
      <c r="C3676" s="61">
        <v>332250.52375804284</v>
      </c>
      <c r="D3676" s="102">
        <v>0.30214387761162387</v>
      </c>
    </row>
    <row r="3677" spans="2:4" x14ac:dyDescent="0.25">
      <c r="B3677" s="61">
        <v>3644</v>
      </c>
      <c r="C3677" s="61">
        <v>126963.53729412926</v>
      </c>
      <c r="D3677" s="102">
        <v>0.15459231585638178</v>
      </c>
    </row>
    <row r="3678" spans="2:4" x14ac:dyDescent="0.25">
      <c r="B3678" s="61">
        <v>3645</v>
      </c>
      <c r="C3678" s="61">
        <v>302898.70908660837</v>
      </c>
      <c r="D3678" s="102">
        <v>0.32148561176875967</v>
      </c>
    </row>
    <row r="3679" spans="2:4" x14ac:dyDescent="0.25">
      <c r="B3679" s="61">
        <v>3646</v>
      </c>
      <c r="C3679" s="61">
        <v>199722.12436291971</v>
      </c>
      <c r="D3679" s="102">
        <v>0.22749782322797518</v>
      </c>
    </row>
    <row r="3680" spans="2:4" x14ac:dyDescent="0.25">
      <c r="B3680" s="61">
        <v>3647</v>
      </c>
      <c r="C3680" s="61">
        <v>246124.99040509807</v>
      </c>
      <c r="D3680" s="102">
        <v>0.30497902615585382</v>
      </c>
    </row>
    <row r="3681" spans="2:4" x14ac:dyDescent="0.25">
      <c r="B3681" s="61">
        <v>3648</v>
      </c>
      <c r="C3681" s="61">
        <v>308481.71249746229</v>
      </c>
      <c r="D3681" s="102">
        <v>0.30555877798055953</v>
      </c>
    </row>
    <row r="3682" spans="2:4" x14ac:dyDescent="0.25">
      <c r="B3682" s="61">
        <v>3649</v>
      </c>
      <c r="C3682" s="61">
        <v>124226.0500736293</v>
      </c>
      <c r="D3682" s="102">
        <v>0.15628449202595673</v>
      </c>
    </row>
    <row r="3683" spans="2:4" x14ac:dyDescent="0.25">
      <c r="B3683" s="61">
        <v>3650</v>
      </c>
      <c r="C3683" s="61">
        <v>373568.76513488591</v>
      </c>
      <c r="D3683" s="102">
        <v>0.31851597716400648</v>
      </c>
    </row>
    <row r="3684" spans="2:4" x14ac:dyDescent="0.25">
      <c r="B3684" s="61">
        <v>3651</v>
      </c>
      <c r="C3684" s="61">
        <v>388298.89433591731</v>
      </c>
      <c r="D3684" s="102">
        <v>0.351377839491952</v>
      </c>
    </row>
    <row r="3685" spans="2:4" x14ac:dyDescent="0.25">
      <c r="B3685" s="61">
        <v>3652</v>
      </c>
      <c r="C3685" s="61">
        <v>551242.44526535296</v>
      </c>
      <c r="D3685" s="102">
        <v>0.55219465334570494</v>
      </c>
    </row>
    <row r="3686" spans="2:4" x14ac:dyDescent="0.25">
      <c r="B3686" s="61">
        <v>3653</v>
      </c>
      <c r="C3686" s="61">
        <v>271570.51572399668</v>
      </c>
      <c r="D3686" s="102">
        <v>0.2779872712871212</v>
      </c>
    </row>
    <row r="3687" spans="2:4" x14ac:dyDescent="0.25">
      <c r="B3687" s="61">
        <v>3654</v>
      </c>
      <c r="C3687" s="61">
        <v>131677.89847786748</v>
      </c>
      <c r="D3687" s="102">
        <v>0.17232453195591479</v>
      </c>
    </row>
    <row r="3688" spans="2:4" x14ac:dyDescent="0.25">
      <c r="B3688" s="61">
        <v>3655</v>
      </c>
      <c r="C3688" s="61">
        <v>178538.88424069493</v>
      </c>
      <c r="D3688" s="102">
        <v>0.1850593016958697</v>
      </c>
    </row>
    <row r="3689" spans="2:4" x14ac:dyDescent="0.25">
      <c r="B3689" s="61">
        <v>3656</v>
      </c>
      <c r="C3689" s="61">
        <v>95723.611200709187</v>
      </c>
      <c r="D3689" s="102">
        <v>0.16375335344652253</v>
      </c>
    </row>
    <row r="3690" spans="2:4" x14ac:dyDescent="0.25">
      <c r="B3690" s="61">
        <v>3657</v>
      </c>
      <c r="C3690" s="61">
        <v>373815.15312581533</v>
      </c>
      <c r="D3690" s="102">
        <v>0.35929325999912054</v>
      </c>
    </row>
    <row r="3691" spans="2:4" x14ac:dyDescent="0.25">
      <c r="B3691" s="61">
        <v>3658</v>
      </c>
      <c r="C3691" s="61">
        <v>130672.15571290953</v>
      </c>
      <c r="D3691" s="102">
        <v>0.17394540920408441</v>
      </c>
    </row>
    <row r="3692" spans="2:4" x14ac:dyDescent="0.25">
      <c r="B3692" s="61">
        <v>3659</v>
      </c>
      <c r="C3692" s="61">
        <v>311459.54069702048</v>
      </c>
      <c r="D3692" s="102">
        <v>0.32478412425612757</v>
      </c>
    </row>
    <row r="3693" spans="2:4" x14ac:dyDescent="0.25">
      <c r="B3693" s="61">
        <v>3660</v>
      </c>
      <c r="C3693" s="61">
        <v>-25968.7254937978</v>
      </c>
      <c r="D3693" s="102">
        <v>3.6571978172501796E-2</v>
      </c>
    </row>
    <row r="3694" spans="2:4" x14ac:dyDescent="0.25">
      <c r="B3694" s="61">
        <v>3661</v>
      </c>
      <c r="C3694" s="61">
        <v>200295.13587786537</v>
      </c>
      <c r="D3694" s="102">
        <v>0.21973346129764648</v>
      </c>
    </row>
    <row r="3695" spans="2:4" x14ac:dyDescent="0.25">
      <c r="B3695" s="61">
        <v>3662</v>
      </c>
      <c r="C3695" s="61">
        <v>398008.26613765676</v>
      </c>
      <c r="D3695" s="102">
        <v>0.33671695473762053</v>
      </c>
    </row>
    <row r="3696" spans="2:4" x14ac:dyDescent="0.25">
      <c r="B3696" s="61">
        <v>3663</v>
      </c>
      <c r="C3696" s="61">
        <v>237877.00108326983</v>
      </c>
      <c r="D3696" s="102">
        <v>0.23340645484570599</v>
      </c>
    </row>
    <row r="3697" spans="2:4" x14ac:dyDescent="0.25">
      <c r="B3697" s="61">
        <v>3664</v>
      </c>
      <c r="C3697" s="61">
        <v>273764.10578692809</v>
      </c>
      <c r="D3697" s="102">
        <v>0.28915067013835305</v>
      </c>
    </row>
    <row r="3698" spans="2:4" x14ac:dyDescent="0.25">
      <c r="B3698" s="61">
        <v>3665</v>
      </c>
      <c r="C3698" s="61">
        <v>287731.05863254576</v>
      </c>
      <c r="D3698" s="102">
        <v>0.29556887359269179</v>
      </c>
    </row>
    <row r="3699" spans="2:4" x14ac:dyDescent="0.25">
      <c r="B3699" s="61">
        <v>3666</v>
      </c>
      <c r="C3699" s="61">
        <v>292523.92118489195</v>
      </c>
      <c r="D3699" s="102">
        <v>0.50581252358694262</v>
      </c>
    </row>
    <row r="3700" spans="2:4" x14ac:dyDescent="0.25">
      <c r="B3700" s="61">
        <v>3667</v>
      </c>
      <c r="C3700" s="61">
        <v>383032.35912420671</v>
      </c>
      <c r="D3700" s="102">
        <v>0.37629551998993804</v>
      </c>
    </row>
    <row r="3701" spans="2:4" x14ac:dyDescent="0.25">
      <c r="B3701" s="61">
        <v>3668</v>
      </c>
      <c r="C3701" s="61">
        <v>472606.25595649565</v>
      </c>
      <c r="D3701" s="102">
        <v>0.3949895812432842</v>
      </c>
    </row>
    <row r="3702" spans="2:4" x14ac:dyDescent="0.25">
      <c r="B3702" s="61">
        <v>3669</v>
      </c>
      <c r="C3702" s="61">
        <v>67358.690095888975</v>
      </c>
      <c r="D3702" s="102">
        <v>0.10519590541626767</v>
      </c>
    </row>
    <row r="3703" spans="2:4" x14ac:dyDescent="0.25">
      <c r="B3703" s="61">
        <v>3670</v>
      </c>
      <c r="C3703" s="61">
        <v>224951.89636109688</v>
      </c>
      <c r="D3703" s="102">
        <v>0.20688512217418631</v>
      </c>
    </row>
    <row r="3704" spans="2:4" x14ac:dyDescent="0.25">
      <c r="B3704" s="61">
        <v>3671</v>
      </c>
      <c r="C3704" s="61">
        <v>70875.14275962126</v>
      </c>
      <c r="D3704" s="102">
        <v>0.12367192884993305</v>
      </c>
    </row>
    <row r="3705" spans="2:4" x14ac:dyDescent="0.25">
      <c r="B3705" s="61">
        <v>3672</v>
      </c>
      <c r="C3705" s="61">
        <v>110149.40539165016</v>
      </c>
      <c r="D3705" s="102">
        <v>0.12922852412062102</v>
      </c>
    </row>
    <row r="3706" spans="2:4" x14ac:dyDescent="0.25">
      <c r="B3706" s="61">
        <v>3673</v>
      </c>
      <c r="C3706" s="61">
        <v>240067.27501268859</v>
      </c>
      <c r="D3706" s="102">
        <v>0.27996280609555657</v>
      </c>
    </row>
    <row r="3707" spans="2:4" x14ac:dyDescent="0.25">
      <c r="B3707" s="61">
        <v>3674</v>
      </c>
      <c r="C3707" s="61">
        <v>317227.19106326706</v>
      </c>
      <c r="D3707" s="102">
        <v>0.30593097806211311</v>
      </c>
    </row>
    <row r="3708" spans="2:4" x14ac:dyDescent="0.25">
      <c r="B3708" s="61">
        <v>3675</v>
      </c>
      <c r="C3708" s="61">
        <v>382989.451506129</v>
      </c>
      <c r="D3708" s="102">
        <v>0.33867899151216441</v>
      </c>
    </row>
    <row r="3709" spans="2:4" x14ac:dyDescent="0.25">
      <c r="B3709" s="61">
        <v>3676</v>
      </c>
      <c r="C3709" s="61">
        <v>188540.33288280643</v>
      </c>
      <c r="D3709" s="102">
        <v>0.22866676186453461</v>
      </c>
    </row>
    <row r="3710" spans="2:4" x14ac:dyDescent="0.25">
      <c r="B3710" s="61">
        <v>3677</v>
      </c>
      <c r="C3710" s="61">
        <v>101144.6660520928</v>
      </c>
      <c r="D3710" s="102">
        <v>0.15348260282971404</v>
      </c>
    </row>
    <row r="3711" spans="2:4" x14ac:dyDescent="0.25">
      <c r="B3711" s="61">
        <v>3678</v>
      </c>
      <c r="C3711" s="61">
        <v>290440.44746864133</v>
      </c>
      <c r="D3711" s="102">
        <v>0.2898882132453402</v>
      </c>
    </row>
    <row r="3712" spans="2:4" x14ac:dyDescent="0.25">
      <c r="B3712" s="61">
        <v>3679</v>
      </c>
      <c r="C3712" s="61">
        <v>132827.8162706116</v>
      </c>
      <c r="D3712" s="102">
        <v>0.16821072707319851</v>
      </c>
    </row>
    <row r="3713" spans="2:4" x14ac:dyDescent="0.25">
      <c r="B3713" s="61">
        <v>3680</v>
      </c>
      <c r="C3713" s="61">
        <v>302437.61190786236</v>
      </c>
      <c r="D3713" s="102">
        <v>0.28793421367073124</v>
      </c>
    </row>
    <row r="3714" spans="2:4" x14ac:dyDescent="0.25">
      <c r="B3714" s="61">
        <v>3681</v>
      </c>
      <c r="C3714" s="61">
        <v>291937.68027299258</v>
      </c>
      <c r="D3714" s="102">
        <v>0.27421895706566124</v>
      </c>
    </row>
    <row r="3715" spans="2:4" x14ac:dyDescent="0.25">
      <c r="B3715" s="61">
        <v>3682</v>
      </c>
      <c r="C3715" s="61">
        <v>455187.64043462789</v>
      </c>
      <c r="D3715" s="102">
        <v>0.4424224524669782</v>
      </c>
    </row>
    <row r="3716" spans="2:4" x14ac:dyDescent="0.25">
      <c r="B3716" s="61">
        <v>3683</v>
      </c>
      <c r="C3716" s="61">
        <v>148894.23276137514</v>
      </c>
      <c r="D3716" s="102">
        <v>0.1766923354670944</v>
      </c>
    </row>
    <row r="3717" spans="2:4" x14ac:dyDescent="0.25">
      <c r="B3717" s="61">
        <v>3684</v>
      </c>
      <c r="C3717" s="61">
        <v>296711.82661891985</v>
      </c>
      <c r="D3717" s="102">
        <v>0.28260180669103696</v>
      </c>
    </row>
    <row r="3718" spans="2:4" x14ac:dyDescent="0.25">
      <c r="B3718" s="61">
        <v>3685</v>
      </c>
      <c r="C3718" s="61">
        <v>445186.78379705455</v>
      </c>
      <c r="D3718" s="102">
        <v>0.36327209072657674</v>
      </c>
    </row>
    <row r="3719" spans="2:4" x14ac:dyDescent="0.25">
      <c r="B3719" s="61">
        <v>3686</v>
      </c>
      <c r="C3719" s="61">
        <v>386432.8793533023</v>
      </c>
      <c r="D3719" s="102">
        <v>0.36666717750407019</v>
      </c>
    </row>
    <row r="3720" spans="2:4" x14ac:dyDescent="0.25">
      <c r="B3720" s="61">
        <v>3687</v>
      </c>
      <c r="C3720" s="61">
        <v>256480.98562266026</v>
      </c>
      <c r="D3720" s="102">
        <v>0.21845683131584037</v>
      </c>
    </row>
    <row r="3721" spans="2:4" x14ac:dyDescent="0.25">
      <c r="B3721" s="61">
        <v>3688</v>
      </c>
      <c r="C3721" s="61">
        <v>178138.74517853349</v>
      </c>
      <c r="D3721" s="102">
        <v>0.21219275963506479</v>
      </c>
    </row>
    <row r="3722" spans="2:4" x14ac:dyDescent="0.25">
      <c r="B3722" s="61">
        <v>3689</v>
      </c>
      <c r="C3722" s="61">
        <v>436294.51596641843</v>
      </c>
      <c r="D3722" s="102">
        <v>0.38886420856586801</v>
      </c>
    </row>
    <row r="3723" spans="2:4" x14ac:dyDescent="0.25">
      <c r="B3723" s="61">
        <v>3690</v>
      </c>
      <c r="C3723" s="61">
        <v>189595.29273071175</v>
      </c>
      <c r="D3723" s="102">
        <v>0.21296559094068535</v>
      </c>
    </row>
    <row r="3724" spans="2:4" x14ac:dyDescent="0.25">
      <c r="B3724" s="61">
        <v>3691</v>
      </c>
      <c r="C3724" s="61">
        <v>356304.70594432042</v>
      </c>
      <c r="D3724" s="102">
        <v>0.324015700790105</v>
      </c>
    </row>
    <row r="3725" spans="2:4" x14ac:dyDescent="0.25">
      <c r="B3725" s="61">
        <v>3692</v>
      </c>
      <c r="C3725" s="61">
        <v>224917.35525429703</v>
      </c>
      <c r="D3725" s="102">
        <v>0.24439005958206517</v>
      </c>
    </row>
    <row r="3726" spans="2:4" x14ac:dyDescent="0.25">
      <c r="B3726" s="61">
        <v>3693</v>
      </c>
      <c r="C3726" s="61">
        <v>139925.05733831646</v>
      </c>
      <c r="D3726" s="102">
        <v>0.18845375515994456</v>
      </c>
    </row>
    <row r="3727" spans="2:4" x14ac:dyDescent="0.25">
      <c r="B3727" s="61">
        <v>3694</v>
      </c>
      <c r="C3727" s="61">
        <v>418292.65868554835</v>
      </c>
      <c r="D3727" s="102">
        <v>0.35689377067697947</v>
      </c>
    </row>
    <row r="3728" spans="2:4" x14ac:dyDescent="0.25">
      <c r="B3728" s="61">
        <v>3695</v>
      </c>
      <c r="C3728" s="61">
        <v>104330.26154841029</v>
      </c>
      <c r="D3728" s="102">
        <v>0.12866687938209154</v>
      </c>
    </row>
    <row r="3729" spans="2:4" x14ac:dyDescent="0.25">
      <c r="B3729" s="61">
        <v>3696</v>
      </c>
      <c r="C3729" s="61">
        <v>447215.57249692292</v>
      </c>
      <c r="D3729" s="102">
        <v>0.36158603659191724</v>
      </c>
    </row>
    <row r="3730" spans="2:4" x14ac:dyDescent="0.25">
      <c r="B3730" s="61">
        <v>3697</v>
      </c>
      <c r="C3730" s="61">
        <v>266505.56016044714</v>
      </c>
      <c r="D3730" s="102">
        <v>0.29417402244761703</v>
      </c>
    </row>
    <row r="3731" spans="2:4" x14ac:dyDescent="0.25">
      <c r="B3731" s="61">
        <v>3698</v>
      </c>
      <c r="C3731" s="61">
        <v>222335.8601896792</v>
      </c>
      <c r="D3731" s="102">
        <v>0.2437219035088678</v>
      </c>
    </row>
    <row r="3732" spans="2:4" x14ac:dyDescent="0.25">
      <c r="B3732" s="61">
        <v>3699</v>
      </c>
      <c r="C3732" s="61">
        <v>321827.20568054228</v>
      </c>
      <c r="D3732" s="102">
        <v>0.26613657130433288</v>
      </c>
    </row>
    <row r="3733" spans="2:4" x14ac:dyDescent="0.25">
      <c r="B3733" s="61">
        <v>3700</v>
      </c>
      <c r="C3733" s="61">
        <v>256825.78658226051</v>
      </c>
      <c r="D3733" s="102">
        <v>0.25614523991331062</v>
      </c>
    </row>
    <row r="3734" spans="2:4" x14ac:dyDescent="0.25">
      <c r="B3734" s="61">
        <v>3701</v>
      </c>
      <c r="C3734" s="61">
        <v>86688.865124019037</v>
      </c>
      <c r="D3734" s="102">
        <v>0.13372110782538238</v>
      </c>
    </row>
    <row r="3735" spans="2:4" x14ac:dyDescent="0.25">
      <c r="B3735" s="61">
        <v>3702</v>
      </c>
      <c r="C3735" s="61">
        <v>132272.30581948813</v>
      </c>
      <c r="D3735" s="102">
        <v>0.15590442984866226</v>
      </c>
    </row>
    <row r="3736" spans="2:4" x14ac:dyDescent="0.25">
      <c r="B3736" s="61">
        <v>3703</v>
      </c>
      <c r="C3736" s="61">
        <v>294772.89221101359</v>
      </c>
      <c r="D3736" s="102">
        <v>0.29455804712121192</v>
      </c>
    </row>
    <row r="3737" spans="2:4" x14ac:dyDescent="0.25">
      <c r="B3737" s="61">
        <v>3704</v>
      </c>
      <c r="C3737" s="61">
        <v>144914.05160546117</v>
      </c>
      <c r="D3737" s="102">
        <v>0.18638649107036032</v>
      </c>
    </row>
    <row r="3738" spans="2:4" x14ac:dyDescent="0.25">
      <c r="B3738" s="61">
        <v>3705</v>
      </c>
      <c r="C3738" s="61">
        <v>451559.91270015121</v>
      </c>
      <c r="D3738" s="102">
        <v>0.43614703803166677</v>
      </c>
    </row>
    <row r="3739" spans="2:4" x14ac:dyDescent="0.25">
      <c r="B3739" s="61">
        <v>3706</v>
      </c>
      <c r="C3739" s="61">
        <v>22582.956145843375</v>
      </c>
      <c r="D3739" s="102">
        <v>8.8517046532483823E-2</v>
      </c>
    </row>
    <row r="3740" spans="2:4" x14ac:dyDescent="0.25">
      <c r="B3740" s="61">
        <v>3707</v>
      </c>
      <c r="C3740" s="61">
        <v>315152.46105470194</v>
      </c>
      <c r="D3740" s="102">
        <v>0.27899974129392024</v>
      </c>
    </row>
    <row r="3741" spans="2:4" x14ac:dyDescent="0.25">
      <c r="B3741" s="61">
        <v>3708</v>
      </c>
      <c r="C3741" s="61">
        <v>304696.51481101743</v>
      </c>
      <c r="D3741" s="102">
        <v>0.33412966696083468</v>
      </c>
    </row>
    <row r="3742" spans="2:4" x14ac:dyDescent="0.25">
      <c r="B3742" s="61">
        <v>3709</v>
      </c>
      <c r="C3742" s="61">
        <v>261943.00506691926</v>
      </c>
      <c r="D3742" s="102">
        <v>0.21735745869215695</v>
      </c>
    </row>
    <row r="3743" spans="2:4" x14ac:dyDescent="0.25">
      <c r="B3743" s="61">
        <v>3710</v>
      </c>
      <c r="C3743" s="61">
        <v>37485.574257991975</v>
      </c>
      <c r="D3743" s="102">
        <v>9.0595164824163188E-2</v>
      </c>
    </row>
    <row r="3744" spans="2:4" x14ac:dyDescent="0.25">
      <c r="B3744" s="61">
        <v>3711</v>
      </c>
      <c r="C3744" s="61">
        <v>299204.15994091402</v>
      </c>
      <c r="D3744" s="102">
        <v>0.2969775990335477</v>
      </c>
    </row>
    <row r="3745" spans="2:4" x14ac:dyDescent="0.25">
      <c r="B3745" s="61">
        <v>3712</v>
      </c>
      <c r="C3745" s="61">
        <v>182960.28427943576</v>
      </c>
      <c r="D3745" s="102">
        <v>0.18924000384282946</v>
      </c>
    </row>
    <row r="3746" spans="2:4" x14ac:dyDescent="0.25">
      <c r="B3746" s="61">
        <v>3713</v>
      </c>
      <c r="C3746" s="61">
        <v>246398.12288921338</v>
      </c>
      <c r="D3746" s="102">
        <v>0.29963812635780895</v>
      </c>
    </row>
    <row r="3747" spans="2:4" x14ac:dyDescent="0.25">
      <c r="B3747" s="61">
        <v>3714</v>
      </c>
      <c r="C3747" s="61">
        <v>520176.66606562375</v>
      </c>
      <c r="D3747" s="102">
        <v>0.42897443551606251</v>
      </c>
    </row>
    <row r="3748" spans="2:4" x14ac:dyDescent="0.25">
      <c r="B3748" s="61">
        <v>3715</v>
      </c>
      <c r="C3748" s="61">
        <v>194026.6427731826</v>
      </c>
      <c r="D3748" s="102">
        <v>0.20355482447844042</v>
      </c>
    </row>
    <row r="3749" spans="2:4" x14ac:dyDescent="0.25">
      <c r="B3749" s="61">
        <v>3716</v>
      </c>
      <c r="C3749" s="61">
        <v>401035.99783787003</v>
      </c>
      <c r="D3749" s="102">
        <v>0.30750391471127569</v>
      </c>
    </row>
    <row r="3750" spans="2:4" x14ac:dyDescent="0.25">
      <c r="B3750" s="61">
        <v>3717</v>
      </c>
      <c r="C3750" s="61">
        <v>310685.45980812982</v>
      </c>
      <c r="D3750" s="102">
        <v>0.32516178373495253</v>
      </c>
    </row>
    <row r="3751" spans="2:4" x14ac:dyDescent="0.25">
      <c r="B3751" s="61">
        <v>3718</v>
      </c>
      <c r="C3751" s="61">
        <v>200574.69071582938</v>
      </c>
      <c r="D3751" s="102">
        <v>0.23645226816049614</v>
      </c>
    </row>
    <row r="3752" spans="2:4" x14ac:dyDescent="0.25">
      <c r="B3752" s="61">
        <v>3719</v>
      </c>
      <c r="C3752" s="61">
        <v>177063.74903531198</v>
      </c>
      <c r="D3752" s="102">
        <v>0.22129510542244968</v>
      </c>
    </row>
    <row r="3753" spans="2:4" x14ac:dyDescent="0.25">
      <c r="B3753" s="61">
        <v>3720</v>
      </c>
      <c r="C3753" s="61">
        <v>209458.77099868772</v>
      </c>
      <c r="D3753" s="102">
        <v>0.19916543799959774</v>
      </c>
    </row>
    <row r="3754" spans="2:4" x14ac:dyDescent="0.25">
      <c r="B3754" s="61">
        <v>3721</v>
      </c>
      <c r="C3754" s="61">
        <v>375594.79106263886</v>
      </c>
      <c r="D3754" s="102">
        <v>0.39206153030725366</v>
      </c>
    </row>
    <row r="3755" spans="2:4" x14ac:dyDescent="0.25">
      <c r="B3755" s="61">
        <v>3722</v>
      </c>
      <c r="C3755" s="61">
        <v>186273.94007036544</v>
      </c>
      <c r="D3755" s="102">
        <v>0.19807510474687229</v>
      </c>
    </row>
    <row r="3756" spans="2:4" x14ac:dyDescent="0.25">
      <c r="B3756" s="61">
        <v>3723</v>
      </c>
      <c r="C3756" s="61">
        <v>322087.06732901314</v>
      </c>
      <c r="D3756" s="102">
        <v>0.34335210808650163</v>
      </c>
    </row>
    <row r="3757" spans="2:4" x14ac:dyDescent="0.25">
      <c r="B3757" s="61">
        <v>3724</v>
      </c>
      <c r="C3757" s="61">
        <v>379251.17097788001</v>
      </c>
      <c r="D3757" s="102">
        <v>0.31765025583943207</v>
      </c>
    </row>
    <row r="3758" spans="2:4" x14ac:dyDescent="0.25">
      <c r="B3758" s="61">
        <v>3725</v>
      </c>
      <c r="C3758" s="61">
        <v>233058.19353932899</v>
      </c>
      <c r="D3758" s="102">
        <v>0.23368694988448357</v>
      </c>
    </row>
    <row r="3759" spans="2:4" x14ac:dyDescent="0.25">
      <c r="B3759" s="61">
        <v>3726</v>
      </c>
      <c r="C3759" s="61">
        <v>575363.71667971823</v>
      </c>
      <c r="D3759" s="102">
        <v>0.54158935376468786</v>
      </c>
    </row>
    <row r="3760" spans="2:4" x14ac:dyDescent="0.25">
      <c r="B3760" s="61">
        <v>3727</v>
      </c>
      <c r="C3760" s="61">
        <v>197082.5244505431</v>
      </c>
      <c r="D3760" s="102">
        <v>0.20624956643174852</v>
      </c>
    </row>
    <row r="3761" spans="2:4" x14ac:dyDescent="0.25">
      <c r="B3761" s="61">
        <v>3728</v>
      </c>
      <c r="C3761" s="61">
        <v>329692.20048890624</v>
      </c>
      <c r="D3761" s="102">
        <v>0.32575321011922065</v>
      </c>
    </row>
    <row r="3762" spans="2:4" x14ac:dyDescent="0.25">
      <c r="B3762" s="61">
        <v>3729</v>
      </c>
      <c r="C3762" s="61">
        <v>195963.99053868698</v>
      </c>
      <c r="D3762" s="102">
        <v>0.21924591799943793</v>
      </c>
    </row>
    <row r="3763" spans="2:4" x14ac:dyDescent="0.25">
      <c r="B3763" s="61">
        <v>3730</v>
      </c>
      <c r="C3763" s="61">
        <v>250869.62317240972</v>
      </c>
      <c r="D3763" s="102">
        <v>0.22897792157489216</v>
      </c>
    </row>
    <row r="3764" spans="2:4" x14ac:dyDescent="0.25">
      <c r="B3764" s="61">
        <v>3731</v>
      </c>
      <c r="C3764" s="61">
        <v>287483.33982624754</v>
      </c>
      <c r="D3764" s="102">
        <v>0.31143904103638698</v>
      </c>
    </row>
    <row r="3765" spans="2:4" x14ac:dyDescent="0.25">
      <c r="B3765" s="61">
        <v>3732</v>
      </c>
      <c r="C3765" s="61">
        <v>-78079.679705452174</v>
      </c>
      <c r="D3765" s="102">
        <v>4.9106560392007115E-3</v>
      </c>
    </row>
    <row r="3766" spans="2:4" x14ac:dyDescent="0.25">
      <c r="B3766" s="61">
        <v>3733</v>
      </c>
      <c r="C3766" s="61">
        <v>88463.93283424637</v>
      </c>
      <c r="D3766" s="102">
        <v>0.13737907787044401</v>
      </c>
    </row>
    <row r="3767" spans="2:4" x14ac:dyDescent="0.25">
      <c r="B3767" s="61">
        <v>3734</v>
      </c>
      <c r="C3767" s="61">
        <v>339265.23553505971</v>
      </c>
      <c r="D3767" s="102">
        <v>0.42347071887758592</v>
      </c>
    </row>
    <row r="3768" spans="2:4" x14ac:dyDescent="0.25">
      <c r="B3768" s="61">
        <v>3735</v>
      </c>
      <c r="C3768" s="61">
        <v>537164.69561226247</v>
      </c>
      <c r="D3768" s="102">
        <v>0.42986486965470228</v>
      </c>
    </row>
    <row r="3769" spans="2:4" x14ac:dyDescent="0.25">
      <c r="B3769" s="61">
        <v>3736</v>
      </c>
      <c r="C3769" s="61">
        <v>465065.96197521524</v>
      </c>
      <c r="D3769" s="102">
        <v>0.39311689185184573</v>
      </c>
    </row>
    <row r="3770" spans="2:4" x14ac:dyDescent="0.25">
      <c r="B3770" s="61">
        <v>3737</v>
      </c>
      <c r="C3770" s="61">
        <v>176934.84821938316</v>
      </c>
      <c r="D3770" s="102">
        <v>0.17820950098473554</v>
      </c>
    </row>
    <row r="3771" spans="2:4" x14ac:dyDescent="0.25">
      <c r="B3771" s="61">
        <v>3738</v>
      </c>
      <c r="C3771" s="61">
        <v>521229.13157247903</v>
      </c>
      <c r="D3771" s="102">
        <v>0.46613497403552206</v>
      </c>
    </row>
    <row r="3772" spans="2:4" x14ac:dyDescent="0.25">
      <c r="B3772" s="61">
        <v>3739</v>
      </c>
      <c r="C3772" s="61">
        <v>125942.16578542581</v>
      </c>
      <c r="D3772" s="102">
        <v>0.15306519528517493</v>
      </c>
    </row>
    <row r="3773" spans="2:4" x14ac:dyDescent="0.25">
      <c r="B3773" s="61">
        <v>3740</v>
      </c>
      <c r="C3773" s="61">
        <v>341382.35741772922</v>
      </c>
      <c r="D3773" s="102">
        <v>0.39646794229570115</v>
      </c>
    </row>
    <row r="3774" spans="2:4" x14ac:dyDescent="0.25">
      <c r="B3774" s="61">
        <v>3741</v>
      </c>
      <c r="C3774" s="61">
        <v>36843.186013996601</v>
      </c>
      <c r="D3774" s="102">
        <v>9.4805009440608989E-2</v>
      </c>
    </row>
    <row r="3775" spans="2:4" x14ac:dyDescent="0.25">
      <c r="B3775" s="61">
        <v>3742</v>
      </c>
      <c r="C3775" s="61">
        <v>205994.70408201148</v>
      </c>
      <c r="D3775" s="102">
        <v>0.20759257538641829</v>
      </c>
    </row>
    <row r="3776" spans="2:4" x14ac:dyDescent="0.25">
      <c r="B3776" s="61">
        <v>3743</v>
      </c>
      <c r="C3776" s="61">
        <v>167659.97139288799</v>
      </c>
      <c r="D3776" s="102">
        <v>0.22177698619642094</v>
      </c>
    </row>
    <row r="3777" spans="2:4" x14ac:dyDescent="0.25">
      <c r="B3777" s="61">
        <v>3744</v>
      </c>
      <c r="C3777" s="61">
        <v>518050.31090513198</v>
      </c>
      <c r="D3777" s="102">
        <v>0.4407820958716635</v>
      </c>
    </row>
    <row r="3778" spans="2:4" x14ac:dyDescent="0.25">
      <c r="B3778" s="61">
        <v>3745</v>
      </c>
      <c r="C3778" s="61">
        <v>389401.09648703877</v>
      </c>
      <c r="D3778" s="102">
        <v>0.43574046771748742</v>
      </c>
    </row>
    <row r="3779" spans="2:4" x14ac:dyDescent="0.25">
      <c r="B3779" s="61">
        <v>3746</v>
      </c>
      <c r="C3779" s="61">
        <v>246613.79644818581</v>
      </c>
      <c r="D3779" s="102">
        <v>0.26721482496211757</v>
      </c>
    </row>
    <row r="3780" spans="2:4" x14ac:dyDescent="0.25">
      <c r="B3780" s="61">
        <v>3747</v>
      </c>
      <c r="C3780" s="61">
        <v>274300.52096084785</v>
      </c>
      <c r="D3780" s="102">
        <v>0.30672828693451981</v>
      </c>
    </row>
    <row r="3781" spans="2:4" x14ac:dyDescent="0.25">
      <c r="B3781" s="61">
        <v>3748</v>
      </c>
      <c r="C3781" s="61">
        <v>453788.2219845017</v>
      </c>
      <c r="D3781" s="102">
        <v>0.39790901166340209</v>
      </c>
    </row>
    <row r="3782" spans="2:4" x14ac:dyDescent="0.25">
      <c r="B3782" s="61">
        <v>3749</v>
      </c>
      <c r="C3782" s="61">
        <v>289295.41449335276</v>
      </c>
      <c r="D3782" s="102">
        <v>0.36509574267883083</v>
      </c>
    </row>
    <row r="3783" spans="2:4" x14ac:dyDescent="0.25">
      <c r="B3783" s="61">
        <v>3750</v>
      </c>
      <c r="C3783" s="61">
        <v>209420.90545899689</v>
      </c>
      <c r="D3783" s="102">
        <v>0.26977950572410569</v>
      </c>
    </row>
    <row r="3784" spans="2:4" x14ac:dyDescent="0.25">
      <c r="B3784" s="61">
        <v>3751</v>
      </c>
      <c r="C3784" s="61">
        <v>195135.8361941718</v>
      </c>
      <c r="D3784" s="102">
        <v>0.19880196815388262</v>
      </c>
    </row>
    <row r="3785" spans="2:4" x14ac:dyDescent="0.25">
      <c r="B3785" s="61">
        <v>3752</v>
      </c>
      <c r="C3785" s="61">
        <v>213707.30926550494</v>
      </c>
      <c r="D3785" s="102">
        <v>0.20813027509310822</v>
      </c>
    </row>
    <row r="3786" spans="2:4" x14ac:dyDescent="0.25">
      <c r="B3786" s="61">
        <v>3753</v>
      </c>
      <c r="C3786" s="61">
        <v>202730.95297153259</v>
      </c>
      <c r="D3786" s="102">
        <v>0.22179620939938416</v>
      </c>
    </row>
    <row r="3787" spans="2:4" x14ac:dyDescent="0.25">
      <c r="B3787" s="61">
        <v>3754</v>
      </c>
      <c r="C3787" s="61">
        <v>462784.39069946005</v>
      </c>
      <c r="D3787" s="102">
        <v>0.46772877399938984</v>
      </c>
    </row>
    <row r="3788" spans="2:4" x14ac:dyDescent="0.25">
      <c r="B3788" s="61">
        <v>3755</v>
      </c>
      <c r="C3788" s="61">
        <v>182108.80901696335</v>
      </c>
      <c r="D3788" s="102">
        <v>0.22964503395421754</v>
      </c>
    </row>
    <row r="3789" spans="2:4" x14ac:dyDescent="0.25">
      <c r="B3789" s="61">
        <v>3756</v>
      </c>
      <c r="C3789" s="61">
        <v>353762.58831031271</v>
      </c>
      <c r="D3789" s="102">
        <v>0.33884195206071221</v>
      </c>
    </row>
    <row r="3790" spans="2:4" x14ac:dyDescent="0.25">
      <c r="B3790" s="61">
        <v>3757</v>
      </c>
      <c r="C3790" s="61">
        <v>324910.05834711541</v>
      </c>
      <c r="D3790" s="102">
        <v>0.28227153409511141</v>
      </c>
    </row>
    <row r="3791" spans="2:4" x14ac:dyDescent="0.25">
      <c r="B3791" s="61">
        <v>3758</v>
      </c>
      <c r="C3791" s="61">
        <v>555102.46627738827</v>
      </c>
      <c r="D3791" s="102">
        <v>0.47130683875065671</v>
      </c>
    </row>
    <row r="3792" spans="2:4" x14ac:dyDescent="0.25">
      <c r="B3792" s="61">
        <v>3759</v>
      </c>
      <c r="C3792" s="61">
        <v>296095.49346639263</v>
      </c>
      <c r="D3792" s="102">
        <v>0.27547189734722166</v>
      </c>
    </row>
    <row r="3793" spans="2:4" x14ac:dyDescent="0.25">
      <c r="B3793" s="61">
        <v>3760</v>
      </c>
      <c r="C3793" s="61">
        <v>67170.414407243021</v>
      </c>
      <c r="D3793" s="102">
        <v>0.13730525825275297</v>
      </c>
    </row>
    <row r="3794" spans="2:4" x14ac:dyDescent="0.25">
      <c r="B3794" s="61">
        <v>3761</v>
      </c>
      <c r="C3794" s="61">
        <v>63866.756838107423</v>
      </c>
      <c r="D3794" s="102">
        <v>0.11131471636816781</v>
      </c>
    </row>
    <row r="3795" spans="2:4" x14ac:dyDescent="0.25">
      <c r="B3795" s="61">
        <v>3762</v>
      </c>
      <c r="C3795" s="61">
        <v>296888.98832289176</v>
      </c>
      <c r="D3795" s="102">
        <v>0.33236203826681643</v>
      </c>
    </row>
    <row r="3796" spans="2:4" x14ac:dyDescent="0.25">
      <c r="B3796" s="61">
        <v>3763</v>
      </c>
      <c r="C3796" s="61">
        <v>209498.69805925258</v>
      </c>
      <c r="D3796" s="102">
        <v>0.22381968752170867</v>
      </c>
    </row>
    <row r="3797" spans="2:4" x14ac:dyDescent="0.25">
      <c r="B3797" s="61">
        <v>3764</v>
      </c>
      <c r="C3797" s="61">
        <v>148373.24350972642</v>
      </c>
      <c r="D3797" s="102">
        <v>0.17344210520911152</v>
      </c>
    </row>
    <row r="3798" spans="2:4" x14ac:dyDescent="0.25">
      <c r="B3798" s="61">
        <v>3765</v>
      </c>
      <c r="C3798" s="61">
        <v>355397.20206859277</v>
      </c>
      <c r="D3798" s="102">
        <v>0.3393917821746637</v>
      </c>
    </row>
    <row r="3799" spans="2:4" x14ac:dyDescent="0.25">
      <c r="B3799" s="61">
        <v>3766</v>
      </c>
      <c r="C3799" s="61">
        <v>109126.21029421513</v>
      </c>
      <c r="D3799" s="102">
        <v>0.14826463687922686</v>
      </c>
    </row>
    <row r="3800" spans="2:4" x14ac:dyDescent="0.25">
      <c r="B3800" s="61">
        <v>3767</v>
      </c>
      <c r="C3800" s="61">
        <v>205944.72305723501</v>
      </c>
      <c r="D3800" s="102">
        <v>0.21617674907280549</v>
      </c>
    </row>
    <row r="3801" spans="2:4" x14ac:dyDescent="0.25">
      <c r="B3801" s="61">
        <v>3768</v>
      </c>
      <c r="C3801" s="61">
        <v>380806.282816094</v>
      </c>
      <c r="D3801" s="102">
        <v>0.29465825739978802</v>
      </c>
    </row>
    <row r="3802" spans="2:4" x14ac:dyDescent="0.25">
      <c r="B3802" s="61">
        <v>3769</v>
      </c>
      <c r="C3802" s="61">
        <v>180075.1641700482</v>
      </c>
      <c r="D3802" s="102">
        <v>0.22544578802896598</v>
      </c>
    </row>
    <row r="3803" spans="2:4" x14ac:dyDescent="0.25">
      <c r="B3803" s="61">
        <v>3770</v>
      </c>
      <c r="C3803" s="61">
        <v>240665.56702288252</v>
      </c>
      <c r="D3803" s="102">
        <v>0.27547366213732971</v>
      </c>
    </row>
    <row r="3804" spans="2:4" x14ac:dyDescent="0.25">
      <c r="B3804" s="61">
        <v>3771</v>
      </c>
      <c r="C3804" s="61">
        <v>187564.70340575057</v>
      </c>
      <c r="D3804" s="102">
        <v>0.20876156209759467</v>
      </c>
    </row>
    <row r="3805" spans="2:4" x14ac:dyDescent="0.25">
      <c r="B3805" s="61">
        <v>3772</v>
      </c>
      <c r="C3805" s="61">
        <v>105234.36792821559</v>
      </c>
      <c r="D3805" s="102">
        <v>0.16494521631513592</v>
      </c>
    </row>
    <row r="3806" spans="2:4" x14ac:dyDescent="0.25">
      <c r="B3806" s="61">
        <v>3773</v>
      </c>
      <c r="C3806" s="61">
        <v>392358.89455487276</v>
      </c>
      <c r="D3806" s="102">
        <v>0.34516282678088173</v>
      </c>
    </row>
    <row r="3807" spans="2:4" x14ac:dyDescent="0.25">
      <c r="B3807" s="61">
        <v>3774</v>
      </c>
      <c r="C3807" s="61">
        <v>53911.272677261382</v>
      </c>
      <c r="D3807" s="102">
        <v>0.11601805461645398</v>
      </c>
    </row>
    <row r="3808" spans="2:4" x14ac:dyDescent="0.25">
      <c r="B3808" s="61">
        <v>3775</v>
      </c>
      <c r="C3808" s="61">
        <v>431662.51078264951</v>
      </c>
      <c r="D3808" s="102">
        <v>0.4408906453954935</v>
      </c>
    </row>
    <row r="3809" spans="2:4" x14ac:dyDescent="0.25">
      <c r="B3809" s="61">
        <v>3776</v>
      </c>
      <c r="C3809" s="61">
        <v>82994.462724341953</v>
      </c>
      <c r="D3809" s="102">
        <v>0.13252634115342987</v>
      </c>
    </row>
    <row r="3810" spans="2:4" x14ac:dyDescent="0.25">
      <c r="B3810" s="61">
        <v>3777</v>
      </c>
      <c r="C3810" s="61">
        <v>4061.562054992246</v>
      </c>
      <c r="D3810" s="102">
        <v>6.7588669736561302E-2</v>
      </c>
    </row>
    <row r="3811" spans="2:4" x14ac:dyDescent="0.25">
      <c r="B3811" s="61">
        <v>3778</v>
      </c>
      <c r="C3811" s="61">
        <v>204537.02777632955</v>
      </c>
      <c r="D3811" s="102">
        <v>0.22583748144073401</v>
      </c>
    </row>
    <row r="3812" spans="2:4" x14ac:dyDescent="0.25">
      <c r="B3812" s="61">
        <v>3779</v>
      </c>
      <c r="C3812" s="61">
        <v>466258.40104945272</v>
      </c>
      <c r="D3812" s="102">
        <v>0.450297452093541</v>
      </c>
    </row>
    <row r="3813" spans="2:4" x14ac:dyDescent="0.25">
      <c r="B3813" s="61">
        <v>3780</v>
      </c>
      <c r="C3813" s="61">
        <v>253229.8923640229</v>
      </c>
      <c r="D3813" s="102">
        <v>0.24876283541797339</v>
      </c>
    </row>
    <row r="3814" spans="2:4" x14ac:dyDescent="0.25">
      <c r="B3814" s="61">
        <v>3781</v>
      </c>
      <c r="C3814" s="61">
        <v>182294.52084491949</v>
      </c>
      <c r="D3814" s="102">
        <v>0.25034549432420383</v>
      </c>
    </row>
    <row r="3815" spans="2:4" x14ac:dyDescent="0.25">
      <c r="B3815" s="61">
        <v>3782</v>
      </c>
      <c r="C3815" s="61">
        <v>368811.45148329576</v>
      </c>
      <c r="D3815" s="102">
        <v>0.37026892870287464</v>
      </c>
    </row>
    <row r="3816" spans="2:4" x14ac:dyDescent="0.25">
      <c r="B3816" s="61">
        <v>3783</v>
      </c>
      <c r="C3816" s="61">
        <v>249288.58086178999</v>
      </c>
      <c r="D3816" s="102">
        <v>0.26806633920810663</v>
      </c>
    </row>
    <row r="3817" spans="2:4" x14ac:dyDescent="0.25">
      <c r="B3817" s="61">
        <v>3784</v>
      </c>
      <c r="C3817" s="61">
        <v>155142.23942602723</v>
      </c>
      <c r="D3817" s="102">
        <v>0.18745876362612646</v>
      </c>
    </row>
    <row r="3818" spans="2:4" x14ac:dyDescent="0.25">
      <c r="B3818" s="61">
        <v>3785</v>
      </c>
      <c r="C3818" s="61">
        <v>149862.05969452241</v>
      </c>
      <c r="D3818" s="102">
        <v>0.18726582661896019</v>
      </c>
    </row>
    <row r="3819" spans="2:4" x14ac:dyDescent="0.25">
      <c r="B3819" s="61">
        <v>3786</v>
      </c>
      <c r="C3819" s="61">
        <v>293959.34226642794</v>
      </c>
      <c r="D3819" s="102">
        <v>0.2929781053065974</v>
      </c>
    </row>
    <row r="3820" spans="2:4" x14ac:dyDescent="0.25">
      <c r="B3820" s="61">
        <v>3787</v>
      </c>
      <c r="C3820" s="61">
        <v>96338.937682018324</v>
      </c>
      <c r="D3820" s="102">
        <v>0.13534089155945561</v>
      </c>
    </row>
    <row r="3821" spans="2:4" x14ac:dyDescent="0.25">
      <c r="B3821" s="61">
        <v>3788</v>
      </c>
      <c r="C3821" s="61">
        <v>126003.03169374354</v>
      </c>
      <c r="D3821" s="102">
        <v>0.15654103684655163</v>
      </c>
    </row>
    <row r="3822" spans="2:4" x14ac:dyDescent="0.25">
      <c r="B3822" s="61">
        <v>3789</v>
      </c>
      <c r="C3822" s="61">
        <v>350984.76177486661</v>
      </c>
      <c r="D3822" s="102">
        <v>0.34310631093055011</v>
      </c>
    </row>
    <row r="3823" spans="2:4" x14ac:dyDescent="0.25">
      <c r="B3823" s="61">
        <v>3790</v>
      </c>
      <c r="C3823" s="61">
        <v>337323.10807468253</v>
      </c>
      <c r="D3823" s="102">
        <v>0.38474764694277663</v>
      </c>
    </row>
    <row r="3824" spans="2:4" x14ac:dyDescent="0.25">
      <c r="B3824" s="61">
        <v>3791</v>
      </c>
      <c r="C3824" s="61">
        <v>286611.96554120292</v>
      </c>
      <c r="D3824" s="102">
        <v>0.25956180917593286</v>
      </c>
    </row>
    <row r="3825" spans="2:4" x14ac:dyDescent="0.25">
      <c r="B3825" s="61">
        <v>3792</v>
      </c>
      <c r="C3825" s="61">
        <v>139239.2538792839</v>
      </c>
      <c r="D3825" s="102">
        <v>0.17295863021214375</v>
      </c>
    </row>
    <row r="3826" spans="2:4" x14ac:dyDescent="0.25">
      <c r="B3826" s="61">
        <v>3793</v>
      </c>
      <c r="C3826" s="61">
        <v>231204.20503854274</v>
      </c>
      <c r="D3826" s="102">
        <v>0.22826020966247196</v>
      </c>
    </row>
    <row r="3827" spans="2:4" x14ac:dyDescent="0.25">
      <c r="B3827" s="61">
        <v>3794</v>
      </c>
      <c r="C3827" s="61">
        <v>282497.59810938756</v>
      </c>
      <c r="D3827" s="102">
        <v>0.23408487145064449</v>
      </c>
    </row>
    <row r="3828" spans="2:4" x14ac:dyDescent="0.25">
      <c r="B3828" s="61">
        <v>3795</v>
      </c>
      <c r="C3828" s="61">
        <v>84662.36542032432</v>
      </c>
      <c r="D3828" s="102">
        <v>0.1421536909071488</v>
      </c>
    </row>
    <row r="3829" spans="2:4" x14ac:dyDescent="0.25">
      <c r="B3829" s="61">
        <v>3796</v>
      </c>
      <c r="C3829" s="61">
        <v>311985.47320214473</v>
      </c>
      <c r="D3829" s="102">
        <v>0.29262238047116251</v>
      </c>
    </row>
    <row r="3830" spans="2:4" x14ac:dyDescent="0.25">
      <c r="B3830" s="61">
        <v>3797</v>
      </c>
      <c r="C3830" s="61">
        <v>344310.12579755811</v>
      </c>
      <c r="D3830" s="102">
        <v>0.33596331111214339</v>
      </c>
    </row>
    <row r="3831" spans="2:4" x14ac:dyDescent="0.25">
      <c r="B3831" s="61">
        <v>3798</v>
      </c>
      <c r="C3831" s="61">
        <v>308640.26693072473</v>
      </c>
      <c r="D3831" s="102">
        <v>0.28589248628025143</v>
      </c>
    </row>
    <row r="3832" spans="2:4" x14ac:dyDescent="0.25">
      <c r="B3832" s="61">
        <v>3799</v>
      </c>
      <c r="C3832" s="61">
        <v>286452.96507518122</v>
      </c>
      <c r="D3832" s="102">
        <v>0.34371002023855746</v>
      </c>
    </row>
    <row r="3833" spans="2:4" x14ac:dyDescent="0.25">
      <c r="B3833" s="61">
        <v>3800</v>
      </c>
      <c r="C3833" s="61">
        <v>405274.59337994724</v>
      </c>
      <c r="D3833" s="102">
        <v>0.39184536357698629</v>
      </c>
    </row>
    <row r="3834" spans="2:4" x14ac:dyDescent="0.25">
      <c r="B3834" s="61">
        <v>3801</v>
      </c>
      <c r="C3834" s="61">
        <v>479694.85106352379</v>
      </c>
      <c r="D3834" s="102">
        <v>0.45719044740473258</v>
      </c>
    </row>
    <row r="3835" spans="2:4" x14ac:dyDescent="0.25">
      <c r="B3835" s="61">
        <v>3802</v>
      </c>
      <c r="C3835" s="61">
        <v>222168.80141808547</v>
      </c>
      <c r="D3835" s="102">
        <v>0.26881843821060913</v>
      </c>
    </row>
    <row r="3836" spans="2:4" x14ac:dyDescent="0.25">
      <c r="B3836" s="61">
        <v>3803</v>
      </c>
      <c r="C3836" s="61">
        <v>392627.45262822509</v>
      </c>
      <c r="D3836" s="102">
        <v>0.30948591890524524</v>
      </c>
    </row>
    <row r="3837" spans="2:4" x14ac:dyDescent="0.25">
      <c r="B3837" s="61">
        <v>3804</v>
      </c>
      <c r="C3837" s="61">
        <v>99224.978935064457</v>
      </c>
      <c r="D3837" s="102">
        <v>0.16482982005298208</v>
      </c>
    </row>
    <row r="3838" spans="2:4" x14ac:dyDescent="0.25">
      <c r="B3838" s="61">
        <v>3805</v>
      </c>
      <c r="C3838" s="61">
        <v>274874.60652371484</v>
      </c>
      <c r="D3838" s="102">
        <v>0.3330251604500849</v>
      </c>
    </row>
    <row r="3839" spans="2:4" x14ac:dyDescent="0.25">
      <c r="B3839" s="61">
        <v>3806</v>
      </c>
      <c r="C3839" s="61">
        <v>258948.81353148189</v>
      </c>
      <c r="D3839" s="102">
        <v>0.26151400306957662</v>
      </c>
    </row>
    <row r="3840" spans="2:4" x14ac:dyDescent="0.25">
      <c r="B3840" s="61">
        <v>3807</v>
      </c>
      <c r="C3840" s="61">
        <v>118635.41535927483</v>
      </c>
      <c r="D3840" s="102">
        <v>0.17023713572102639</v>
      </c>
    </row>
    <row r="3841" spans="2:4" x14ac:dyDescent="0.25">
      <c r="B3841" s="61">
        <v>3808</v>
      </c>
      <c r="C3841" s="61">
        <v>282280.60441625281</v>
      </c>
      <c r="D3841" s="102">
        <v>0.46014678289901467</v>
      </c>
    </row>
    <row r="3842" spans="2:4" x14ac:dyDescent="0.25">
      <c r="B3842" s="61">
        <v>3809</v>
      </c>
      <c r="C3842" s="61">
        <v>209664.3588186691</v>
      </c>
      <c r="D3842" s="102">
        <v>0.21326632597846373</v>
      </c>
    </row>
    <row r="3843" spans="2:4" x14ac:dyDescent="0.25">
      <c r="B3843" s="61">
        <v>3810</v>
      </c>
      <c r="C3843" s="61">
        <v>404766.08828287479</v>
      </c>
      <c r="D3843" s="102">
        <v>0.40633805065115958</v>
      </c>
    </row>
    <row r="3844" spans="2:4" x14ac:dyDescent="0.25">
      <c r="B3844" s="61">
        <v>3811</v>
      </c>
      <c r="C3844" s="61">
        <v>409358.14016003651</v>
      </c>
      <c r="D3844" s="102">
        <v>0.37797601324435837</v>
      </c>
    </row>
    <row r="3845" spans="2:4" x14ac:dyDescent="0.25">
      <c r="B3845" s="61">
        <v>3812</v>
      </c>
      <c r="C3845" s="61">
        <v>-54478.727224247763</v>
      </c>
      <c r="D3845" s="102">
        <v>2.4637858766051179E-2</v>
      </c>
    </row>
    <row r="3846" spans="2:4" x14ac:dyDescent="0.25">
      <c r="B3846" s="61">
        <v>3813</v>
      </c>
      <c r="C3846" s="61">
        <v>92911.161917692341</v>
      </c>
      <c r="D3846" s="102">
        <v>0.16380987999895802</v>
      </c>
    </row>
    <row r="3847" spans="2:4" x14ac:dyDescent="0.25">
      <c r="B3847" s="61">
        <v>3814</v>
      </c>
      <c r="C3847" s="61">
        <v>335905.27385810041</v>
      </c>
      <c r="D3847" s="102">
        <v>0.36994235136485543</v>
      </c>
    </row>
    <row r="3848" spans="2:4" x14ac:dyDescent="0.25">
      <c r="B3848" s="61">
        <v>3815</v>
      </c>
      <c r="C3848" s="61">
        <v>282563.30770085927</v>
      </c>
      <c r="D3848" s="102">
        <v>0.2708866232568814</v>
      </c>
    </row>
    <row r="3849" spans="2:4" x14ac:dyDescent="0.25">
      <c r="B3849" s="61">
        <v>3816</v>
      </c>
      <c r="C3849" s="61">
        <v>215460.11417861725</v>
      </c>
      <c r="D3849" s="102">
        <v>0.21842972992813903</v>
      </c>
    </row>
    <row r="3850" spans="2:4" x14ac:dyDescent="0.25">
      <c r="B3850" s="61">
        <v>3817</v>
      </c>
      <c r="C3850" s="61">
        <v>496699.15270646021</v>
      </c>
      <c r="D3850" s="102">
        <v>0.47950166339776268</v>
      </c>
    </row>
    <row r="3851" spans="2:4" x14ac:dyDescent="0.25">
      <c r="B3851" s="61">
        <v>3818</v>
      </c>
      <c r="C3851" s="61">
        <v>196858.26721805497</v>
      </c>
      <c r="D3851" s="102">
        <v>0.21697109381980995</v>
      </c>
    </row>
    <row r="3852" spans="2:4" x14ac:dyDescent="0.25">
      <c r="B3852" s="61">
        <v>3819</v>
      </c>
      <c r="C3852" s="61">
        <v>323111.86757145519</v>
      </c>
      <c r="D3852" s="102">
        <v>0.3170538489024366</v>
      </c>
    </row>
    <row r="3853" spans="2:4" x14ac:dyDescent="0.25">
      <c r="B3853" s="61">
        <v>3820</v>
      </c>
      <c r="C3853" s="61">
        <v>269861.06933338568</v>
      </c>
      <c r="D3853" s="102">
        <v>0.29324860231793859</v>
      </c>
    </row>
    <row r="3854" spans="2:4" x14ac:dyDescent="0.25">
      <c r="B3854" s="61">
        <v>3821</v>
      </c>
      <c r="C3854" s="61">
        <v>281493.75154997606</v>
      </c>
      <c r="D3854" s="102">
        <v>0.29746847198569215</v>
      </c>
    </row>
    <row r="3855" spans="2:4" x14ac:dyDescent="0.25">
      <c r="B3855" s="61">
        <v>3822</v>
      </c>
      <c r="C3855" s="61">
        <v>176788.17249906156</v>
      </c>
      <c r="D3855" s="102">
        <v>0.1905066196962697</v>
      </c>
    </row>
    <row r="3856" spans="2:4" x14ac:dyDescent="0.25">
      <c r="B3856" s="61">
        <v>3823</v>
      </c>
      <c r="C3856" s="61">
        <v>220617.0293793832</v>
      </c>
      <c r="D3856" s="102">
        <v>0.2715128022443607</v>
      </c>
    </row>
    <row r="3857" spans="2:4" x14ac:dyDescent="0.25">
      <c r="B3857" s="61">
        <v>3824</v>
      </c>
      <c r="C3857" s="61">
        <v>330005.77004416171</v>
      </c>
      <c r="D3857" s="102">
        <v>0.27966338347281927</v>
      </c>
    </row>
    <row r="3858" spans="2:4" x14ac:dyDescent="0.25">
      <c r="B3858" s="61">
        <v>3825</v>
      </c>
      <c r="C3858" s="61">
        <v>178578.29961885966</v>
      </c>
      <c r="D3858" s="102">
        <v>0.23272454973222922</v>
      </c>
    </row>
    <row r="3859" spans="2:4" x14ac:dyDescent="0.25">
      <c r="B3859" s="61">
        <v>3826</v>
      </c>
      <c r="C3859" s="61">
        <v>339567.31758237432</v>
      </c>
      <c r="D3859" s="102">
        <v>0.29485797496995936</v>
      </c>
    </row>
    <row r="3860" spans="2:4" x14ac:dyDescent="0.25">
      <c r="B3860" s="61">
        <v>3827</v>
      </c>
      <c r="C3860" s="61">
        <v>278051.8061787053</v>
      </c>
      <c r="D3860" s="102">
        <v>0.30538206697429859</v>
      </c>
    </row>
    <row r="3861" spans="2:4" x14ac:dyDescent="0.25">
      <c r="B3861" s="61">
        <v>3828</v>
      </c>
      <c r="C3861" s="61">
        <v>494751.55040892353</v>
      </c>
      <c r="D3861" s="102">
        <v>0.39530348905840529</v>
      </c>
    </row>
    <row r="3862" spans="2:4" x14ac:dyDescent="0.25">
      <c r="B3862" s="61">
        <v>3829</v>
      </c>
      <c r="C3862" s="61">
        <v>453640.9035519649</v>
      </c>
      <c r="D3862" s="102">
        <v>0.35519558679188212</v>
      </c>
    </row>
    <row r="3863" spans="2:4" x14ac:dyDescent="0.25">
      <c r="B3863" s="61">
        <v>3830</v>
      </c>
      <c r="C3863" s="61">
        <v>156054.46356443985</v>
      </c>
      <c r="D3863" s="102">
        <v>0.17014243620609526</v>
      </c>
    </row>
    <row r="3864" spans="2:4" x14ac:dyDescent="0.25">
      <c r="B3864" s="61">
        <v>3831</v>
      </c>
      <c r="C3864" s="61">
        <v>275034.94800836092</v>
      </c>
      <c r="D3864" s="102">
        <v>0.25156971377089254</v>
      </c>
    </row>
    <row r="3865" spans="2:4" x14ac:dyDescent="0.25">
      <c r="B3865" s="61">
        <v>3832</v>
      </c>
      <c r="C3865" s="61">
        <v>264693.58605231089</v>
      </c>
      <c r="D3865" s="102">
        <v>0.24324172831398738</v>
      </c>
    </row>
    <row r="3866" spans="2:4" x14ac:dyDescent="0.25">
      <c r="B3866" s="61">
        <v>3833</v>
      </c>
      <c r="C3866" s="61">
        <v>-80502.367899616249</v>
      </c>
      <c r="D3866" s="102">
        <v>7.1194491382549074E-3</v>
      </c>
    </row>
    <row r="3867" spans="2:4" x14ac:dyDescent="0.25">
      <c r="B3867" s="61">
        <v>3834</v>
      </c>
      <c r="C3867" s="61">
        <v>341859.5643637249</v>
      </c>
      <c r="D3867" s="102">
        <v>0.28213434496884782</v>
      </c>
    </row>
    <row r="3868" spans="2:4" x14ac:dyDescent="0.25">
      <c r="B3868" s="61">
        <v>3835</v>
      </c>
      <c r="C3868" s="61">
        <v>326676.16143027332</v>
      </c>
      <c r="D3868" s="102">
        <v>0.37659796372105725</v>
      </c>
    </row>
    <row r="3869" spans="2:4" x14ac:dyDescent="0.25">
      <c r="B3869" s="61">
        <v>3836</v>
      </c>
      <c r="C3869" s="61">
        <v>170406.9884952181</v>
      </c>
      <c r="D3869" s="102">
        <v>0.22049926401115605</v>
      </c>
    </row>
    <row r="3870" spans="2:4" x14ac:dyDescent="0.25">
      <c r="B3870" s="61">
        <v>3837</v>
      </c>
      <c r="C3870" s="61">
        <v>161760.17557648045</v>
      </c>
      <c r="D3870" s="102">
        <v>0.16542754972123075</v>
      </c>
    </row>
    <row r="3871" spans="2:4" x14ac:dyDescent="0.25">
      <c r="B3871" s="61">
        <v>3838</v>
      </c>
      <c r="C3871" s="61">
        <v>380166.06498322182</v>
      </c>
      <c r="D3871" s="102">
        <v>0.3901214360767491</v>
      </c>
    </row>
    <row r="3872" spans="2:4" x14ac:dyDescent="0.25">
      <c r="B3872" s="61">
        <v>3839</v>
      </c>
      <c r="C3872" s="61">
        <v>127521.81264752144</v>
      </c>
      <c r="D3872" s="102">
        <v>0.18504565749022417</v>
      </c>
    </row>
    <row r="3873" spans="2:4" x14ac:dyDescent="0.25">
      <c r="B3873" s="61">
        <v>3840</v>
      </c>
      <c r="C3873" s="61">
        <v>329191.03005389555</v>
      </c>
      <c r="D3873" s="102">
        <v>0.2812927210485261</v>
      </c>
    </row>
    <row r="3874" spans="2:4" x14ac:dyDescent="0.25">
      <c r="B3874" s="61">
        <v>3841</v>
      </c>
      <c r="C3874" s="61">
        <v>378287.20283200277</v>
      </c>
      <c r="D3874" s="102">
        <v>0.3131866027903083</v>
      </c>
    </row>
    <row r="3875" spans="2:4" x14ac:dyDescent="0.25">
      <c r="B3875" s="61">
        <v>3842</v>
      </c>
      <c r="C3875" s="61">
        <v>263343.66046356922</v>
      </c>
      <c r="D3875" s="102">
        <v>0.26842568900478869</v>
      </c>
    </row>
    <row r="3876" spans="2:4" x14ac:dyDescent="0.25">
      <c r="B3876" s="61">
        <v>3843</v>
      </c>
      <c r="C3876" s="61">
        <v>403135.93109287333</v>
      </c>
      <c r="D3876" s="102">
        <v>0.30518408290429666</v>
      </c>
    </row>
    <row r="3877" spans="2:4" x14ac:dyDescent="0.25">
      <c r="B3877" s="61">
        <v>3844</v>
      </c>
      <c r="C3877" s="61">
        <v>401375.52451744536</v>
      </c>
      <c r="D3877" s="102">
        <v>0.39514529852987912</v>
      </c>
    </row>
    <row r="3878" spans="2:4" x14ac:dyDescent="0.25">
      <c r="B3878" s="61">
        <v>3845</v>
      </c>
      <c r="C3878" s="61">
        <v>575871.54021021747</v>
      </c>
      <c r="D3878" s="102">
        <v>0.54800960259162945</v>
      </c>
    </row>
    <row r="3879" spans="2:4" x14ac:dyDescent="0.25">
      <c r="B3879" s="61">
        <v>3846</v>
      </c>
      <c r="C3879" s="61">
        <v>281192.20381432108</v>
      </c>
      <c r="D3879" s="102">
        <v>0.25285245117688593</v>
      </c>
    </row>
    <row r="3880" spans="2:4" x14ac:dyDescent="0.25">
      <c r="B3880" s="61">
        <v>3847</v>
      </c>
      <c r="C3880" s="61">
        <v>275801.5018719103</v>
      </c>
      <c r="D3880" s="102">
        <v>0.2623959398223612</v>
      </c>
    </row>
    <row r="3881" spans="2:4" x14ac:dyDescent="0.25">
      <c r="B3881" s="61">
        <v>3848</v>
      </c>
      <c r="C3881" s="61">
        <v>318959.11242470203</v>
      </c>
      <c r="D3881" s="102">
        <v>0.30512854583629556</v>
      </c>
    </row>
    <row r="3882" spans="2:4" x14ac:dyDescent="0.25">
      <c r="B3882" s="61">
        <v>3849</v>
      </c>
      <c r="C3882" s="61">
        <v>369700.28593652579</v>
      </c>
      <c r="D3882" s="102">
        <v>0.42403113655909919</v>
      </c>
    </row>
    <row r="3883" spans="2:4" x14ac:dyDescent="0.25">
      <c r="B3883" s="61">
        <v>3850</v>
      </c>
      <c r="C3883" s="61">
        <v>142703.76579955476</v>
      </c>
      <c r="D3883" s="102">
        <v>0.16481340471069594</v>
      </c>
    </row>
    <row r="3884" spans="2:4" x14ac:dyDescent="0.25">
      <c r="B3884" s="61">
        <v>3851</v>
      </c>
      <c r="C3884" s="61">
        <v>85478.052699897846</v>
      </c>
      <c r="D3884" s="102">
        <v>0.15728175479218209</v>
      </c>
    </row>
    <row r="3885" spans="2:4" x14ac:dyDescent="0.25">
      <c r="B3885" s="61">
        <v>3852</v>
      </c>
      <c r="C3885" s="61">
        <v>163561.01990302163</v>
      </c>
      <c r="D3885" s="102">
        <v>0.22407416583356254</v>
      </c>
    </row>
    <row r="3886" spans="2:4" x14ac:dyDescent="0.25">
      <c r="B3886" s="61">
        <v>3853</v>
      </c>
      <c r="C3886" s="61">
        <v>249353.71173930936</v>
      </c>
      <c r="D3886" s="102">
        <v>0.29735428534749442</v>
      </c>
    </row>
    <row r="3887" spans="2:4" x14ac:dyDescent="0.25">
      <c r="B3887" s="61">
        <v>3854</v>
      </c>
      <c r="C3887" s="61">
        <v>104451.35253141355</v>
      </c>
      <c r="D3887" s="102">
        <v>0.14101387802647602</v>
      </c>
    </row>
    <row r="3888" spans="2:4" x14ac:dyDescent="0.25">
      <c r="B3888" s="61">
        <v>3855</v>
      </c>
      <c r="C3888" s="61">
        <v>342768.88125009649</v>
      </c>
      <c r="D3888" s="102">
        <v>0.32216170386568743</v>
      </c>
    </row>
    <row r="3889" spans="2:4" x14ac:dyDescent="0.25">
      <c r="B3889" s="61">
        <v>3856</v>
      </c>
      <c r="C3889" s="61">
        <v>344852.63713902689</v>
      </c>
      <c r="D3889" s="102">
        <v>0.35071718816574227</v>
      </c>
    </row>
    <row r="3890" spans="2:4" x14ac:dyDescent="0.25">
      <c r="B3890" s="61">
        <v>3857</v>
      </c>
      <c r="C3890" s="61">
        <v>193654.67331731727</v>
      </c>
      <c r="D3890" s="102">
        <v>0.20841121251729455</v>
      </c>
    </row>
    <row r="3891" spans="2:4" x14ac:dyDescent="0.25">
      <c r="B3891" s="61">
        <v>3858</v>
      </c>
      <c r="C3891" s="61">
        <v>505609.80941090337</v>
      </c>
      <c r="D3891" s="102">
        <v>0.46542811655826788</v>
      </c>
    </row>
    <row r="3892" spans="2:4" x14ac:dyDescent="0.25">
      <c r="B3892" s="61">
        <v>3859</v>
      </c>
      <c r="C3892" s="61">
        <v>97455.751288363594</v>
      </c>
      <c r="D3892" s="102">
        <v>0.15644423847186761</v>
      </c>
    </row>
    <row r="3893" spans="2:4" x14ac:dyDescent="0.25">
      <c r="B3893" s="61">
        <v>3860</v>
      </c>
      <c r="C3893" s="61">
        <v>291400.46003815974</v>
      </c>
      <c r="D3893" s="102">
        <v>0.33209407177848438</v>
      </c>
    </row>
    <row r="3894" spans="2:4" x14ac:dyDescent="0.25">
      <c r="B3894" s="61">
        <v>3861</v>
      </c>
      <c r="C3894" s="61">
        <v>119795.12077805802</v>
      </c>
      <c r="D3894" s="102">
        <v>0.17441694675136921</v>
      </c>
    </row>
    <row r="3895" spans="2:4" x14ac:dyDescent="0.25">
      <c r="B3895" s="61">
        <v>3862</v>
      </c>
      <c r="C3895" s="61">
        <v>238584.90057381359</v>
      </c>
      <c r="D3895" s="102">
        <v>0.21955740499453547</v>
      </c>
    </row>
    <row r="3896" spans="2:4" x14ac:dyDescent="0.25">
      <c r="B3896" s="61">
        <v>3863</v>
      </c>
      <c r="C3896" s="61">
        <v>351876.49773846578</v>
      </c>
      <c r="D3896" s="102">
        <v>0.34805042806174824</v>
      </c>
    </row>
    <row r="3897" spans="2:4" x14ac:dyDescent="0.25">
      <c r="B3897" s="61">
        <v>3864</v>
      </c>
      <c r="C3897" s="61">
        <v>346716.59820192226</v>
      </c>
      <c r="D3897" s="102">
        <v>0.29939981783822511</v>
      </c>
    </row>
    <row r="3898" spans="2:4" x14ac:dyDescent="0.25">
      <c r="B3898" s="61">
        <v>3865</v>
      </c>
      <c r="C3898" s="61">
        <v>247592.28719867417</v>
      </c>
      <c r="D3898" s="102">
        <v>0.22883220001550941</v>
      </c>
    </row>
    <row r="3899" spans="2:4" x14ac:dyDescent="0.25">
      <c r="B3899" s="61">
        <v>3866</v>
      </c>
      <c r="C3899" s="61">
        <v>363755.63884820952</v>
      </c>
      <c r="D3899" s="102">
        <v>0.35585217386969203</v>
      </c>
    </row>
    <row r="3900" spans="2:4" x14ac:dyDescent="0.25">
      <c r="B3900" s="61">
        <v>3867</v>
      </c>
      <c r="C3900" s="61">
        <v>112444.91992815677</v>
      </c>
      <c r="D3900" s="102">
        <v>0.16684051033137548</v>
      </c>
    </row>
    <row r="3901" spans="2:4" x14ac:dyDescent="0.25">
      <c r="B3901" s="61">
        <v>3868</v>
      </c>
      <c r="C3901" s="61">
        <v>451422.78436622256</v>
      </c>
      <c r="D3901" s="102">
        <v>0.44062935562409455</v>
      </c>
    </row>
    <row r="3902" spans="2:4" x14ac:dyDescent="0.25">
      <c r="B3902" s="61">
        <v>3869</v>
      </c>
      <c r="C3902" s="61">
        <v>157949.36086755642</v>
      </c>
      <c r="D3902" s="102">
        <v>0.22598442749319791</v>
      </c>
    </row>
    <row r="3903" spans="2:4" x14ac:dyDescent="0.25">
      <c r="B3903" s="61">
        <v>3870</v>
      </c>
      <c r="C3903" s="61">
        <v>77061.524853104085</v>
      </c>
      <c r="D3903" s="102">
        <v>0.11593250613866846</v>
      </c>
    </row>
    <row r="3904" spans="2:4" x14ac:dyDescent="0.25">
      <c r="B3904" s="61">
        <v>3871</v>
      </c>
      <c r="C3904" s="61">
        <v>112636.23192767909</v>
      </c>
      <c r="D3904" s="102">
        <v>0.15309038571739975</v>
      </c>
    </row>
    <row r="3905" spans="2:4" x14ac:dyDescent="0.25">
      <c r="B3905" s="61">
        <v>3872</v>
      </c>
      <c r="C3905" s="61">
        <v>311358.4968379304</v>
      </c>
      <c r="D3905" s="102">
        <v>0.32839069279685784</v>
      </c>
    </row>
    <row r="3906" spans="2:4" x14ac:dyDescent="0.25">
      <c r="B3906" s="61">
        <v>3873</v>
      </c>
      <c r="C3906" s="61">
        <v>284077.21472858195</v>
      </c>
      <c r="D3906" s="102">
        <v>0.24707051358631271</v>
      </c>
    </row>
    <row r="3907" spans="2:4" x14ac:dyDescent="0.25">
      <c r="B3907" s="61">
        <v>3874</v>
      </c>
      <c r="C3907" s="61">
        <v>320352.85216598189</v>
      </c>
      <c r="D3907" s="102">
        <v>0.33344574669964699</v>
      </c>
    </row>
    <row r="3908" spans="2:4" x14ac:dyDescent="0.25">
      <c r="B3908" s="61">
        <v>3875</v>
      </c>
      <c r="C3908" s="61">
        <v>245663.92913480045</v>
      </c>
      <c r="D3908" s="102">
        <v>0.2758517944495702</v>
      </c>
    </row>
    <row r="3909" spans="2:4" x14ac:dyDescent="0.25">
      <c r="B3909" s="61">
        <v>3876</v>
      </c>
      <c r="C3909" s="61">
        <v>87010.707976265403</v>
      </c>
      <c r="D3909" s="102">
        <v>0.13708360016804644</v>
      </c>
    </row>
    <row r="3910" spans="2:4" x14ac:dyDescent="0.25">
      <c r="B3910" s="61">
        <v>3877</v>
      </c>
      <c r="C3910" s="61">
        <v>250344.18373610592</v>
      </c>
      <c r="D3910" s="102">
        <v>0.22891824783711057</v>
      </c>
    </row>
    <row r="3911" spans="2:4" x14ac:dyDescent="0.25">
      <c r="B3911" s="61">
        <v>3878</v>
      </c>
      <c r="C3911" s="61">
        <v>112068.65614172351</v>
      </c>
      <c r="D3911" s="102">
        <v>0.1413118203989403</v>
      </c>
    </row>
    <row r="3912" spans="2:4" x14ac:dyDescent="0.25">
      <c r="B3912" s="61">
        <v>3879</v>
      </c>
      <c r="C3912" s="61">
        <v>205709.43758527492</v>
      </c>
      <c r="D3912" s="102">
        <v>0.22353466313226478</v>
      </c>
    </row>
    <row r="3913" spans="2:4" x14ac:dyDescent="0.25">
      <c r="B3913" s="61">
        <v>3880</v>
      </c>
      <c r="C3913" s="61">
        <v>398749.69871497387</v>
      </c>
      <c r="D3913" s="102">
        <v>0.36289586110147698</v>
      </c>
    </row>
    <row r="3914" spans="2:4" x14ac:dyDescent="0.25">
      <c r="B3914" s="61">
        <v>3881</v>
      </c>
      <c r="C3914" s="61">
        <v>494969.97546884837</v>
      </c>
      <c r="D3914" s="102">
        <v>0.36906400330734557</v>
      </c>
    </row>
    <row r="3915" spans="2:4" x14ac:dyDescent="0.25">
      <c r="B3915" s="61">
        <v>3882</v>
      </c>
      <c r="C3915" s="61">
        <v>382241.76490932656</v>
      </c>
      <c r="D3915" s="102">
        <v>0.35462878417058885</v>
      </c>
    </row>
    <row r="3916" spans="2:4" x14ac:dyDescent="0.25">
      <c r="B3916" s="61">
        <v>3883</v>
      </c>
      <c r="C3916" s="61">
        <v>110976.88827982388</v>
      </c>
      <c r="D3916" s="102">
        <v>0.19084412622554492</v>
      </c>
    </row>
    <row r="3917" spans="2:4" x14ac:dyDescent="0.25">
      <c r="B3917" s="61">
        <v>3884</v>
      </c>
      <c r="C3917" s="61">
        <v>238961.34836044698</v>
      </c>
      <c r="D3917" s="102">
        <v>0.22356048768344161</v>
      </c>
    </row>
    <row r="3918" spans="2:4" x14ac:dyDescent="0.25">
      <c r="B3918" s="61">
        <v>3885</v>
      </c>
      <c r="C3918" s="61">
        <v>299602.23359310266</v>
      </c>
      <c r="D3918" s="102">
        <v>0.28978537749290401</v>
      </c>
    </row>
    <row r="3919" spans="2:4" x14ac:dyDescent="0.25">
      <c r="B3919" s="61">
        <v>3886</v>
      </c>
      <c r="C3919" s="61">
        <v>494695.29035515175</v>
      </c>
      <c r="D3919" s="102">
        <v>0.46384451117861381</v>
      </c>
    </row>
    <row r="3920" spans="2:4" x14ac:dyDescent="0.25">
      <c r="B3920" s="61">
        <v>3887</v>
      </c>
      <c r="C3920" s="61">
        <v>262158.59562240529</v>
      </c>
      <c r="D3920" s="102">
        <v>0.29686167664504381</v>
      </c>
    </row>
    <row r="3921" spans="2:4" x14ac:dyDescent="0.25">
      <c r="B3921" s="61">
        <v>3888</v>
      </c>
      <c r="C3921" s="61">
        <v>414697.82514232432</v>
      </c>
      <c r="D3921" s="102">
        <v>0.34912160819203808</v>
      </c>
    </row>
    <row r="3922" spans="2:4" x14ac:dyDescent="0.25">
      <c r="B3922" s="61">
        <v>3889</v>
      </c>
      <c r="C3922" s="61">
        <v>470068.95660492592</v>
      </c>
      <c r="D3922" s="102">
        <v>0.3627858199192564</v>
      </c>
    </row>
    <row r="3923" spans="2:4" x14ac:dyDescent="0.25">
      <c r="B3923" s="61">
        <v>3890</v>
      </c>
      <c r="C3923" s="61">
        <v>195417.17741791881</v>
      </c>
      <c r="D3923" s="102">
        <v>0.22740527562222912</v>
      </c>
    </row>
    <row r="3924" spans="2:4" x14ac:dyDescent="0.25">
      <c r="B3924" s="61">
        <v>3891</v>
      </c>
      <c r="C3924" s="61">
        <v>406022.2644049013</v>
      </c>
      <c r="D3924" s="102">
        <v>0.38450237695763834</v>
      </c>
    </row>
    <row r="3925" spans="2:4" x14ac:dyDescent="0.25">
      <c r="B3925" s="61">
        <v>3892</v>
      </c>
      <c r="C3925" s="61">
        <v>289544.67475679389</v>
      </c>
      <c r="D3925" s="102">
        <v>0.25718510649355641</v>
      </c>
    </row>
    <row r="3926" spans="2:4" x14ac:dyDescent="0.25">
      <c r="B3926" s="61">
        <v>3893</v>
      </c>
      <c r="C3926" s="61">
        <v>437516.83800744603</v>
      </c>
      <c r="D3926" s="102">
        <v>0.38344667247403241</v>
      </c>
    </row>
    <row r="3927" spans="2:4" x14ac:dyDescent="0.25">
      <c r="B3927" s="61">
        <v>3894</v>
      </c>
      <c r="C3927" s="61">
        <v>49947.45787428983</v>
      </c>
      <c r="D3927" s="102">
        <v>0.10336268877863919</v>
      </c>
    </row>
    <row r="3928" spans="2:4" x14ac:dyDescent="0.25">
      <c r="B3928" s="61">
        <v>3895</v>
      </c>
      <c r="C3928" s="61">
        <v>285719.23833591829</v>
      </c>
      <c r="D3928" s="102">
        <v>0.36833553841424416</v>
      </c>
    </row>
    <row r="3929" spans="2:4" x14ac:dyDescent="0.25">
      <c r="B3929" s="61">
        <v>3896</v>
      </c>
      <c r="C3929" s="61">
        <v>170706.72860854759</v>
      </c>
      <c r="D3929" s="102">
        <v>0.20768997171740544</v>
      </c>
    </row>
    <row r="3930" spans="2:4" x14ac:dyDescent="0.25">
      <c r="B3930" s="61">
        <v>3897</v>
      </c>
      <c r="C3930" s="61">
        <v>325489.98846099467</v>
      </c>
      <c r="D3930" s="102">
        <v>0.27885333117210687</v>
      </c>
    </row>
    <row r="3931" spans="2:4" x14ac:dyDescent="0.25">
      <c r="B3931" s="61">
        <v>3898</v>
      </c>
      <c r="C3931" s="61">
        <v>-23447.810748234973</v>
      </c>
      <c r="D3931" s="102">
        <v>4.1666720531201129E-2</v>
      </c>
    </row>
    <row r="3932" spans="2:4" x14ac:dyDescent="0.25">
      <c r="B3932" s="61">
        <v>3899</v>
      </c>
      <c r="C3932" s="61">
        <v>308375.25062458054</v>
      </c>
      <c r="D3932" s="102">
        <v>0.29113581801772459</v>
      </c>
    </row>
    <row r="3933" spans="2:4" x14ac:dyDescent="0.25">
      <c r="B3933" s="61">
        <v>3900</v>
      </c>
      <c r="C3933" s="61">
        <v>209706.61187500809</v>
      </c>
      <c r="D3933" s="102">
        <v>0.21080272275969736</v>
      </c>
    </row>
    <row r="3934" spans="2:4" x14ac:dyDescent="0.25">
      <c r="B3934" s="61">
        <v>3901</v>
      </c>
      <c r="C3934" s="61">
        <v>182253.37241210288</v>
      </c>
      <c r="D3934" s="102">
        <v>0.19502805223542707</v>
      </c>
    </row>
    <row r="3935" spans="2:4" x14ac:dyDescent="0.25">
      <c r="B3935" s="61">
        <v>3902</v>
      </c>
      <c r="C3935" s="61">
        <v>437565.34863716702</v>
      </c>
      <c r="D3935" s="102">
        <v>0.40659768995917012</v>
      </c>
    </row>
    <row r="3936" spans="2:4" x14ac:dyDescent="0.25">
      <c r="B3936" s="61">
        <v>3903</v>
      </c>
      <c r="C3936" s="61">
        <v>265733.60524598986</v>
      </c>
      <c r="D3936" s="102">
        <v>0.28341319063701986</v>
      </c>
    </row>
    <row r="3937" spans="2:4" x14ac:dyDescent="0.25">
      <c r="B3937" s="61">
        <v>3904</v>
      </c>
      <c r="C3937" s="61">
        <v>194892.7042630862</v>
      </c>
      <c r="D3937" s="102">
        <v>0.2106593986868901</v>
      </c>
    </row>
    <row r="3938" spans="2:4" x14ac:dyDescent="0.25">
      <c r="B3938" s="61">
        <v>3905</v>
      </c>
      <c r="C3938" s="61">
        <v>360722.33473929763</v>
      </c>
      <c r="D3938" s="102">
        <v>0.36673366172463484</v>
      </c>
    </row>
    <row r="3939" spans="2:4" x14ac:dyDescent="0.25">
      <c r="B3939" s="61">
        <v>3906</v>
      </c>
      <c r="C3939" s="61">
        <v>310110.35902981681</v>
      </c>
      <c r="D3939" s="102">
        <v>0.41897947879165742</v>
      </c>
    </row>
    <row r="3940" spans="2:4" x14ac:dyDescent="0.25">
      <c r="B3940" s="61">
        <v>3907</v>
      </c>
      <c r="C3940" s="61">
        <v>292337.21256657643</v>
      </c>
      <c r="D3940" s="102">
        <v>0.28013789055465987</v>
      </c>
    </row>
    <row r="3941" spans="2:4" x14ac:dyDescent="0.25">
      <c r="B3941" s="61">
        <v>3908</v>
      </c>
      <c r="C3941" s="61">
        <v>101416.58109802916</v>
      </c>
      <c r="D3941" s="102">
        <v>0.1727606749061612</v>
      </c>
    </row>
    <row r="3942" spans="2:4" x14ac:dyDescent="0.25">
      <c r="B3942" s="61">
        <v>3909</v>
      </c>
      <c r="C3942" s="61">
        <v>278630.420209829</v>
      </c>
      <c r="D3942" s="102">
        <v>0.25738749271693595</v>
      </c>
    </row>
    <row r="3943" spans="2:4" x14ac:dyDescent="0.25">
      <c r="B3943" s="61">
        <v>3910</v>
      </c>
      <c r="C3943" s="61">
        <v>198081.11823405675</v>
      </c>
      <c r="D3943" s="102">
        <v>0.20722410533663371</v>
      </c>
    </row>
    <row r="3944" spans="2:4" x14ac:dyDescent="0.25">
      <c r="B3944" s="61">
        <v>3911</v>
      </c>
      <c r="C3944" s="61">
        <v>70913.740551245457</v>
      </c>
      <c r="D3944" s="102">
        <v>0.13023762365851566</v>
      </c>
    </row>
    <row r="3945" spans="2:4" x14ac:dyDescent="0.25">
      <c r="B3945" s="61">
        <v>3912</v>
      </c>
      <c r="C3945" s="61">
        <v>403715.32627821062</v>
      </c>
      <c r="D3945" s="102">
        <v>0.35020126134393026</v>
      </c>
    </row>
    <row r="3946" spans="2:4" x14ac:dyDescent="0.25">
      <c r="B3946" s="61">
        <v>3913</v>
      </c>
      <c r="C3946" s="61">
        <v>33847.060983424773</v>
      </c>
      <c r="D3946" s="102">
        <v>9.8186115667755258E-2</v>
      </c>
    </row>
    <row r="3947" spans="2:4" x14ac:dyDescent="0.25">
      <c r="B3947" s="61">
        <v>3914</v>
      </c>
      <c r="C3947" s="61">
        <v>139250.6845408667</v>
      </c>
      <c r="D3947" s="102">
        <v>0.17144299308073641</v>
      </c>
    </row>
    <row r="3948" spans="2:4" x14ac:dyDescent="0.25">
      <c r="B3948" s="61">
        <v>3915</v>
      </c>
      <c r="C3948" s="61">
        <v>179944.05468119762</v>
      </c>
      <c r="D3948" s="102">
        <v>0.20025133071165713</v>
      </c>
    </row>
    <row r="3949" spans="2:4" x14ac:dyDescent="0.25">
      <c r="B3949" s="61">
        <v>3916</v>
      </c>
      <c r="C3949" s="61">
        <v>334019.24654472154</v>
      </c>
      <c r="D3949" s="102">
        <v>0.33492054062140797</v>
      </c>
    </row>
    <row r="3950" spans="2:4" x14ac:dyDescent="0.25">
      <c r="B3950" s="61">
        <v>3917</v>
      </c>
      <c r="C3950" s="61">
        <v>141555.69950799423</v>
      </c>
      <c r="D3950" s="102">
        <v>0.1610508344448276</v>
      </c>
    </row>
    <row r="3951" spans="2:4" x14ac:dyDescent="0.25">
      <c r="B3951" s="61">
        <v>3918</v>
      </c>
      <c r="C3951" s="61">
        <v>206460.38607214182</v>
      </c>
      <c r="D3951" s="102">
        <v>0.27409044613324318</v>
      </c>
    </row>
    <row r="3952" spans="2:4" x14ac:dyDescent="0.25">
      <c r="B3952" s="61">
        <v>3919</v>
      </c>
      <c r="C3952" s="61">
        <v>223446.5230939755</v>
      </c>
      <c r="D3952" s="102">
        <v>0.23030476517134946</v>
      </c>
    </row>
    <row r="3953" spans="2:4" x14ac:dyDescent="0.25">
      <c r="B3953" s="61">
        <v>3920</v>
      </c>
      <c r="C3953" s="61">
        <v>-67742.771709483117</v>
      </c>
      <c r="D3953" s="102">
        <v>1.100794962162599E-2</v>
      </c>
    </row>
    <row r="3954" spans="2:4" x14ac:dyDescent="0.25">
      <c r="B3954" s="61">
        <v>3921</v>
      </c>
      <c r="C3954" s="61">
        <v>221242.43395248742</v>
      </c>
      <c r="D3954" s="102">
        <v>0.29409097904881354</v>
      </c>
    </row>
    <row r="3955" spans="2:4" x14ac:dyDescent="0.25">
      <c r="B3955" s="61">
        <v>3922</v>
      </c>
      <c r="C3955" s="61">
        <v>339295.97553088493</v>
      </c>
      <c r="D3955" s="102">
        <v>0.28021285177262323</v>
      </c>
    </row>
    <row r="3956" spans="2:4" x14ac:dyDescent="0.25">
      <c r="B3956" s="61">
        <v>3923</v>
      </c>
      <c r="C3956" s="61">
        <v>296188.15960233298</v>
      </c>
      <c r="D3956" s="102">
        <v>0.30963402962513964</v>
      </c>
    </row>
    <row r="3957" spans="2:4" x14ac:dyDescent="0.25">
      <c r="B3957" s="61">
        <v>3924</v>
      </c>
      <c r="C3957" s="61">
        <v>13973.909594603581</v>
      </c>
      <c r="D3957" s="102">
        <v>7.5512194206196481E-2</v>
      </c>
    </row>
    <row r="3958" spans="2:4" x14ac:dyDescent="0.25">
      <c r="B3958" s="61">
        <v>3925</v>
      </c>
      <c r="C3958" s="61">
        <v>101657.35064066981</v>
      </c>
      <c r="D3958" s="102">
        <v>0.13847399053615495</v>
      </c>
    </row>
    <row r="3959" spans="2:4" x14ac:dyDescent="0.25">
      <c r="B3959" s="61">
        <v>3926</v>
      </c>
      <c r="C3959" s="61">
        <v>192458.72845080437</v>
      </c>
      <c r="D3959" s="102">
        <v>0.2736819748344943</v>
      </c>
    </row>
    <row r="3960" spans="2:4" x14ac:dyDescent="0.25">
      <c r="B3960" s="61">
        <v>3927</v>
      </c>
      <c r="C3960" s="61">
        <v>472397.65085435321</v>
      </c>
      <c r="D3960" s="102">
        <v>0.44555438833321781</v>
      </c>
    </row>
    <row r="3961" spans="2:4" x14ac:dyDescent="0.25">
      <c r="B3961" s="61">
        <v>3928</v>
      </c>
      <c r="C3961" s="61">
        <v>18152.515858152125</v>
      </c>
      <c r="D3961" s="102">
        <v>7.9298623782636302E-2</v>
      </c>
    </row>
    <row r="3962" spans="2:4" x14ac:dyDescent="0.25">
      <c r="B3962" s="61">
        <v>3929</v>
      </c>
      <c r="C3962" s="61">
        <v>322349.10914594517</v>
      </c>
      <c r="D3962" s="102">
        <v>0.28239106043045004</v>
      </c>
    </row>
    <row r="3963" spans="2:4" x14ac:dyDescent="0.25">
      <c r="B3963" s="61">
        <v>3930</v>
      </c>
      <c r="C3963" s="61">
        <v>349060.49325876823</v>
      </c>
      <c r="D3963" s="102">
        <v>0.29559845064843593</v>
      </c>
    </row>
    <row r="3964" spans="2:4" x14ac:dyDescent="0.25">
      <c r="B3964" s="61">
        <v>3931</v>
      </c>
      <c r="C3964" s="61">
        <v>380284.89631648967</v>
      </c>
      <c r="D3964" s="102">
        <v>0.34319368829250352</v>
      </c>
    </row>
    <row r="3965" spans="2:4" x14ac:dyDescent="0.25">
      <c r="B3965" s="61">
        <v>3932</v>
      </c>
      <c r="C3965" s="61">
        <v>284310.17959083954</v>
      </c>
      <c r="D3965" s="102">
        <v>0.27858634379739589</v>
      </c>
    </row>
    <row r="3966" spans="2:4" x14ac:dyDescent="0.25">
      <c r="B3966" s="61">
        <v>3933</v>
      </c>
      <c r="C3966" s="61">
        <v>212050.25148750236</v>
      </c>
      <c r="D3966" s="102">
        <v>0.22462387365284719</v>
      </c>
    </row>
    <row r="3967" spans="2:4" x14ac:dyDescent="0.25">
      <c r="B3967" s="61">
        <v>3934</v>
      </c>
      <c r="C3967" s="61">
        <v>135986.66710964462</v>
      </c>
      <c r="D3967" s="102">
        <v>0.16954054515330363</v>
      </c>
    </row>
    <row r="3968" spans="2:4" x14ac:dyDescent="0.25">
      <c r="B3968" s="61">
        <v>3935</v>
      </c>
      <c r="C3968" s="61">
        <v>284479.97944539017</v>
      </c>
      <c r="D3968" s="102">
        <v>0.27498470490247962</v>
      </c>
    </row>
    <row r="3969" spans="2:4" x14ac:dyDescent="0.25">
      <c r="B3969" s="61">
        <v>3936</v>
      </c>
      <c r="C3969" s="61">
        <v>-56282.061478087213</v>
      </c>
      <c r="D3969" s="102">
        <v>1.1210907537131609E-2</v>
      </c>
    </row>
    <row r="3970" spans="2:4" x14ac:dyDescent="0.25">
      <c r="B3970" s="61">
        <v>3937</v>
      </c>
      <c r="C3970" s="61">
        <v>360697.0186379574</v>
      </c>
      <c r="D3970" s="102">
        <v>0.34574715579162185</v>
      </c>
    </row>
    <row r="3971" spans="2:4" x14ac:dyDescent="0.25">
      <c r="B3971" s="61">
        <v>3938</v>
      </c>
      <c r="C3971" s="61">
        <v>536882.81244328874</v>
      </c>
      <c r="D3971" s="102">
        <v>0.48804659956956309</v>
      </c>
    </row>
    <row r="3972" spans="2:4" x14ac:dyDescent="0.25">
      <c r="B3972" s="61">
        <v>3939</v>
      </c>
      <c r="C3972" s="61">
        <v>107910.7871237793</v>
      </c>
      <c r="D3972" s="102">
        <v>0.14206952070702128</v>
      </c>
    </row>
    <row r="3973" spans="2:4" x14ac:dyDescent="0.25">
      <c r="B3973" s="61">
        <v>3940</v>
      </c>
      <c r="C3973" s="61">
        <v>140242.46515306551</v>
      </c>
      <c r="D3973" s="102">
        <v>0.1761587023075768</v>
      </c>
    </row>
    <row r="3974" spans="2:4" x14ac:dyDescent="0.25">
      <c r="B3974" s="61">
        <v>3941</v>
      </c>
      <c r="C3974" s="61">
        <v>115515.71796825202</v>
      </c>
      <c r="D3974" s="102">
        <v>0.16553962056371896</v>
      </c>
    </row>
    <row r="3975" spans="2:4" x14ac:dyDescent="0.25">
      <c r="B3975" s="61">
        <v>3942</v>
      </c>
      <c r="C3975" s="61">
        <v>220375.57589750958</v>
      </c>
      <c r="D3975" s="102">
        <v>0.234393757113599</v>
      </c>
    </row>
    <row r="3976" spans="2:4" x14ac:dyDescent="0.25">
      <c r="B3976" s="61">
        <v>3943</v>
      </c>
      <c r="C3976" s="61">
        <v>111626.39437945618</v>
      </c>
      <c r="D3976" s="102">
        <v>0.17089288999531171</v>
      </c>
    </row>
    <row r="3977" spans="2:4" x14ac:dyDescent="0.25">
      <c r="B3977" s="61">
        <v>3944</v>
      </c>
      <c r="C3977" s="61">
        <v>100740.40342154313</v>
      </c>
      <c r="D3977" s="102">
        <v>0.15177957390955465</v>
      </c>
    </row>
    <row r="3978" spans="2:4" x14ac:dyDescent="0.25">
      <c r="B3978" s="61">
        <v>3945</v>
      </c>
      <c r="C3978" s="61">
        <v>110073.05525818188</v>
      </c>
      <c r="D3978" s="102">
        <v>0.16328681402892253</v>
      </c>
    </row>
    <row r="3979" spans="2:4" x14ac:dyDescent="0.25">
      <c r="B3979" s="61">
        <v>3946</v>
      </c>
      <c r="C3979" s="61">
        <v>513067.70713414031</v>
      </c>
      <c r="D3979" s="102">
        <v>0.38759290551765302</v>
      </c>
    </row>
    <row r="3980" spans="2:4" x14ac:dyDescent="0.25">
      <c r="B3980" s="61">
        <v>3947</v>
      </c>
      <c r="C3980" s="61">
        <v>567013.28966038232</v>
      </c>
      <c r="D3980" s="102">
        <v>0.51047980246411639</v>
      </c>
    </row>
    <row r="3981" spans="2:4" x14ac:dyDescent="0.25">
      <c r="B3981" s="61">
        <v>3948</v>
      </c>
      <c r="C3981" s="61">
        <v>307947.19433980295</v>
      </c>
      <c r="D3981" s="102">
        <v>0.30908167916021245</v>
      </c>
    </row>
    <row r="3982" spans="2:4" x14ac:dyDescent="0.25">
      <c r="B3982" s="61">
        <v>3949</v>
      </c>
      <c r="C3982" s="61">
        <v>409225.1544089301</v>
      </c>
      <c r="D3982" s="102">
        <v>0.39838075186294497</v>
      </c>
    </row>
    <row r="3983" spans="2:4" x14ac:dyDescent="0.25">
      <c r="B3983" s="61">
        <v>3950</v>
      </c>
      <c r="C3983" s="61">
        <v>258257.81757518987</v>
      </c>
      <c r="D3983" s="102">
        <v>0.27389019462461128</v>
      </c>
    </row>
    <row r="3984" spans="2:4" x14ac:dyDescent="0.25">
      <c r="B3984" s="61">
        <v>3951</v>
      </c>
      <c r="C3984" s="61">
        <v>129006.91915350372</v>
      </c>
      <c r="D3984" s="102">
        <v>0.19254838403357022</v>
      </c>
    </row>
    <row r="3985" spans="2:4" x14ac:dyDescent="0.25">
      <c r="B3985" s="61">
        <v>3952</v>
      </c>
      <c r="C3985" s="61">
        <v>307937.79084992933</v>
      </c>
      <c r="D3985" s="102">
        <v>0.34629508669347242</v>
      </c>
    </row>
    <row r="3986" spans="2:4" x14ac:dyDescent="0.25">
      <c r="B3986" s="61">
        <v>3953</v>
      </c>
      <c r="C3986" s="61">
        <v>284647.97773594526</v>
      </c>
      <c r="D3986" s="102">
        <v>0.27308693006556961</v>
      </c>
    </row>
    <row r="3987" spans="2:4" x14ac:dyDescent="0.25">
      <c r="B3987" s="61">
        <v>3954</v>
      </c>
      <c r="C3987" s="61">
        <v>200893.9857560714</v>
      </c>
      <c r="D3987" s="102">
        <v>0.22026134526007723</v>
      </c>
    </row>
    <row r="3988" spans="2:4" x14ac:dyDescent="0.25">
      <c r="B3988" s="61">
        <v>3955</v>
      </c>
      <c r="C3988" s="61">
        <v>480805.9533927443</v>
      </c>
      <c r="D3988" s="102">
        <v>0.39501870703572095</v>
      </c>
    </row>
    <row r="3989" spans="2:4" x14ac:dyDescent="0.25">
      <c r="B3989" s="61">
        <v>3956</v>
      </c>
      <c r="C3989" s="61">
        <v>303945.39150615304</v>
      </c>
      <c r="D3989" s="102">
        <v>0.34760831702593475</v>
      </c>
    </row>
    <row r="3990" spans="2:4" x14ac:dyDescent="0.25">
      <c r="B3990" s="61">
        <v>3957</v>
      </c>
      <c r="C3990" s="61">
        <v>319618.65940873686</v>
      </c>
      <c r="D3990" s="102">
        <v>0.27559723414893766</v>
      </c>
    </row>
    <row r="3991" spans="2:4" x14ac:dyDescent="0.25">
      <c r="B3991" s="61">
        <v>3958</v>
      </c>
      <c r="C3991" s="61">
        <v>366901.54928120645</v>
      </c>
      <c r="D3991" s="102">
        <v>0.28350423571995331</v>
      </c>
    </row>
    <row r="3992" spans="2:4" x14ac:dyDescent="0.25">
      <c r="B3992" s="61">
        <v>3959</v>
      </c>
      <c r="C3992" s="61">
        <v>251619.96174344455</v>
      </c>
      <c r="D3992" s="102">
        <v>0.28814987664852909</v>
      </c>
    </row>
    <row r="3993" spans="2:4" x14ac:dyDescent="0.25">
      <c r="B3993" s="61">
        <v>3960</v>
      </c>
      <c r="C3993" s="61">
        <v>281753.21241525863</v>
      </c>
      <c r="D3993" s="102">
        <v>0.27228335909448842</v>
      </c>
    </row>
    <row r="3994" spans="2:4" x14ac:dyDescent="0.25">
      <c r="B3994" s="61">
        <v>3961</v>
      </c>
      <c r="C3994" s="61">
        <v>364122.96250614035</v>
      </c>
      <c r="D3994" s="102">
        <v>0.2886298849695097</v>
      </c>
    </row>
    <row r="3995" spans="2:4" x14ac:dyDescent="0.25">
      <c r="B3995" s="61">
        <v>3962</v>
      </c>
      <c r="C3995" s="61">
        <v>97391.815337700245</v>
      </c>
      <c r="D3995" s="102">
        <v>0.1494329756228665</v>
      </c>
    </row>
    <row r="3996" spans="2:4" x14ac:dyDescent="0.25">
      <c r="B3996" s="61">
        <v>3963</v>
      </c>
      <c r="C3996" s="61">
        <v>245921.55954768334</v>
      </c>
      <c r="D3996" s="102">
        <v>0.22659109117143394</v>
      </c>
    </row>
    <row r="3997" spans="2:4" x14ac:dyDescent="0.25">
      <c r="B3997" s="61">
        <v>3964</v>
      </c>
      <c r="C3997" s="61">
        <v>169743.63789826119</v>
      </c>
      <c r="D3997" s="102">
        <v>0.19855339864096067</v>
      </c>
    </row>
    <row r="3998" spans="2:4" x14ac:dyDescent="0.25">
      <c r="B3998" s="61">
        <v>3965</v>
      </c>
      <c r="C3998" s="61">
        <v>245702.64392109367</v>
      </c>
      <c r="D3998" s="102">
        <v>0.24322994411980248</v>
      </c>
    </row>
    <row r="3999" spans="2:4" x14ac:dyDescent="0.25">
      <c r="B3999" s="61">
        <v>3966</v>
      </c>
      <c r="C3999" s="61">
        <v>216445.90766797459</v>
      </c>
      <c r="D3999" s="102">
        <v>0.28663629893290699</v>
      </c>
    </row>
    <row r="4000" spans="2:4" x14ac:dyDescent="0.25">
      <c r="B4000" s="61">
        <v>3967</v>
      </c>
      <c r="C4000" s="61">
        <v>285972.84360707051</v>
      </c>
      <c r="D4000" s="102">
        <v>0.25928447210398975</v>
      </c>
    </row>
    <row r="4001" spans="2:4" x14ac:dyDescent="0.25">
      <c r="B4001" s="61">
        <v>3968</v>
      </c>
      <c r="C4001" s="61">
        <v>207092.01977446349</v>
      </c>
      <c r="D4001" s="102">
        <v>0.24480634202029816</v>
      </c>
    </row>
    <row r="4002" spans="2:4" x14ac:dyDescent="0.25">
      <c r="B4002" s="61">
        <v>3969</v>
      </c>
      <c r="C4002" s="61">
        <v>75210.373821195448</v>
      </c>
      <c r="D4002" s="102">
        <v>0.11908434209087337</v>
      </c>
    </row>
    <row r="4003" spans="2:4" x14ac:dyDescent="0.25">
      <c r="B4003" s="61">
        <v>3970</v>
      </c>
      <c r="C4003" s="61">
        <v>121809.40985928901</v>
      </c>
      <c r="D4003" s="102">
        <v>0.15096648353119813</v>
      </c>
    </row>
    <row r="4004" spans="2:4" x14ac:dyDescent="0.25">
      <c r="B4004" s="61">
        <v>3971</v>
      </c>
      <c r="C4004" s="61">
        <v>185499.80627534888</v>
      </c>
      <c r="D4004" s="102">
        <v>0.26772655342100071</v>
      </c>
    </row>
    <row r="4005" spans="2:4" x14ac:dyDescent="0.25">
      <c r="B4005" s="61">
        <v>3972</v>
      </c>
      <c r="C4005" s="61">
        <v>29798.095284172916</v>
      </c>
      <c r="D4005" s="102">
        <v>8.3914425554718619E-2</v>
      </c>
    </row>
    <row r="4006" spans="2:4" x14ac:dyDescent="0.25">
      <c r="B4006" s="61">
        <v>3973</v>
      </c>
      <c r="C4006" s="61">
        <v>26307.075636531925</v>
      </c>
      <c r="D4006" s="102">
        <v>9.1205963057422235E-2</v>
      </c>
    </row>
    <row r="4007" spans="2:4" x14ac:dyDescent="0.25">
      <c r="B4007" s="61">
        <v>3974</v>
      </c>
      <c r="C4007" s="61">
        <v>274720.65665707213</v>
      </c>
      <c r="D4007" s="102">
        <v>0.33638180039016952</v>
      </c>
    </row>
    <row r="4008" spans="2:4" x14ac:dyDescent="0.25">
      <c r="B4008" s="61">
        <v>3975</v>
      </c>
      <c r="C4008" s="61">
        <v>260406.23598742462</v>
      </c>
      <c r="D4008" s="102">
        <v>0.34156044093874094</v>
      </c>
    </row>
    <row r="4009" spans="2:4" x14ac:dyDescent="0.25">
      <c r="B4009" s="61">
        <v>3976</v>
      </c>
      <c r="C4009" s="61">
        <v>41943.166698019661</v>
      </c>
      <c r="D4009" s="102">
        <v>0.10901228938567042</v>
      </c>
    </row>
    <row r="4010" spans="2:4" x14ac:dyDescent="0.25">
      <c r="B4010" s="61">
        <v>3977</v>
      </c>
      <c r="C4010" s="61">
        <v>372360.01523230248</v>
      </c>
      <c r="D4010" s="102">
        <v>0.35350001062265779</v>
      </c>
    </row>
    <row r="4011" spans="2:4" x14ac:dyDescent="0.25">
      <c r="B4011" s="61">
        <v>3978</v>
      </c>
      <c r="C4011" s="61">
        <v>31875.550751085975</v>
      </c>
      <c r="D4011" s="102">
        <v>8.9535188085711148E-2</v>
      </c>
    </row>
    <row r="4012" spans="2:4" x14ac:dyDescent="0.25">
      <c r="B4012" s="61">
        <v>3979</v>
      </c>
      <c r="C4012" s="61">
        <v>177684.65783798171</v>
      </c>
      <c r="D4012" s="102">
        <v>0.22180651967532938</v>
      </c>
    </row>
    <row r="4013" spans="2:4" x14ac:dyDescent="0.25">
      <c r="B4013" s="61">
        <v>3980</v>
      </c>
      <c r="C4013" s="61">
        <v>517896.66190787742</v>
      </c>
      <c r="D4013" s="102">
        <v>0.41402879102611956</v>
      </c>
    </row>
    <row r="4014" spans="2:4" x14ac:dyDescent="0.25">
      <c r="B4014" s="61">
        <v>3981</v>
      </c>
      <c r="C4014" s="61">
        <v>188581.68479658873</v>
      </c>
      <c r="D4014" s="102">
        <v>0.24939647982405355</v>
      </c>
    </row>
    <row r="4015" spans="2:4" x14ac:dyDescent="0.25">
      <c r="B4015" s="61">
        <v>3982</v>
      </c>
      <c r="C4015" s="61">
        <v>125650.61318071163</v>
      </c>
      <c r="D4015" s="102">
        <v>0.16374854395176919</v>
      </c>
    </row>
    <row r="4016" spans="2:4" x14ac:dyDescent="0.25">
      <c r="B4016" s="61">
        <v>3983</v>
      </c>
      <c r="C4016" s="61">
        <v>223503.41775537899</v>
      </c>
      <c r="D4016" s="102">
        <v>0.25060072332784156</v>
      </c>
    </row>
    <row r="4017" spans="2:4" x14ac:dyDescent="0.25">
      <c r="B4017" s="61">
        <v>3984</v>
      </c>
      <c r="C4017" s="61">
        <v>273700.16943400423</v>
      </c>
      <c r="D4017" s="102">
        <v>0.26417956992120994</v>
      </c>
    </row>
    <row r="4018" spans="2:4" x14ac:dyDescent="0.25">
      <c r="B4018" s="61">
        <v>3985</v>
      </c>
      <c r="C4018" s="61">
        <v>-11251.886876277335</v>
      </c>
      <c r="D4018" s="102">
        <v>5.5442229547945532E-2</v>
      </c>
    </row>
    <row r="4019" spans="2:4" x14ac:dyDescent="0.25">
      <c r="B4019" s="61">
        <v>3986</v>
      </c>
      <c r="C4019" s="61">
        <v>27772.844993390143</v>
      </c>
      <c r="D4019" s="102">
        <v>8.1456434035655834E-2</v>
      </c>
    </row>
    <row r="4020" spans="2:4" x14ac:dyDescent="0.25">
      <c r="B4020" s="61">
        <v>3987</v>
      </c>
      <c r="C4020" s="61">
        <v>159261.92342585989</v>
      </c>
      <c r="D4020" s="102">
        <v>0.2074902570177759</v>
      </c>
    </row>
    <row r="4021" spans="2:4" x14ac:dyDescent="0.25">
      <c r="B4021" s="61">
        <v>3988</v>
      </c>
      <c r="C4021" s="61">
        <v>321239.63102145889</v>
      </c>
      <c r="D4021" s="102">
        <v>0.31694323249870804</v>
      </c>
    </row>
    <row r="4022" spans="2:4" x14ac:dyDescent="0.25">
      <c r="B4022" s="61">
        <v>3989</v>
      </c>
      <c r="C4022" s="61">
        <v>251337.64382961113</v>
      </c>
      <c r="D4022" s="102">
        <v>0.27257708533337532</v>
      </c>
    </row>
    <row r="4023" spans="2:4" x14ac:dyDescent="0.25">
      <c r="B4023" s="61">
        <v>3990</v>
      </c>
      <c r="C4023" s="61">
        <v>317315.76038584893</v>
      </c>
      <c r="D4023" s="102">
        <v>0.29533414021755888</v>
      </c>
    </row>
    <row r="4024" spans="2:4" x14ac:dyDescent="0.25">
      <c r="B4024" s="61">
        <v>3991</v>
      </c>
      <c r="C4024" s="61">
        <v>378448.94043322164</v>
      </c>
      <c r="D4024" s="102">
        <v>0.30525985711437009</v>
      </c>
    </row>
    <row r="4025" spans="2:4" x14ac:dyDescent="0.25">
      <c r="B4025" s="61">
        <v>3992</v>
      </c>
      <c r="C4025" s="61">
        <v>363358.22029603459</v>
      </c>
      <c r="D4025" s="102">
        <v>0.42450648240725064</v>
      </c>
    </row>
    <row r="4026" spans="2:4" x14ac:dyDescent="0.25">
      <c r="B4026" s="61">
        <v>3993</v>
      </c>
      <c r="C4026" s="61">
        <v>275780.77816710446</v>
      </c>
      <c r="D4026" s="102">
        <v>0.32965452975664067</v>
      </c>
    </row>
    <row r="4027" spans="2:4" x14ac:dyDescent="0.25">
      <c r="B4027" s="61">
        <v>3994</v>
      </c>
      <c r="C4027" s="61">
        <v>26686.156136079924</v>
      </c>
      <c r="D4027" s="102">
        <v>8.4579997587751699E-2</v>
      </c>
    </row>
    <row r="4028" spans="2:4" x14ac:dyDescent="0.25">
      <c r="B4028" s="61">
        <v>3995</v>
      </c>
      <c r="C4028" s="61">
        <v>255982.3525987413</v>
      </c>
      <c r="D4028" s="102">
        <v>0.25179329271353579</v>
      </c>
    </row>
    <row r="4029" spans="2:4" x14ac:dyDescent="0.25">
      <c r="B4029" s="61">
        <v>3996</v>
      </c>
      <c r="C4029" s="61">
        <v>190355.36442093691</v>
      </c>
      <c r="D4029" s="102">
        <v>0.23634066221268113</v>
      </c>
    </row>
    <row r="4030" spans="2:4" x14ac:dyDescent="0.25">
      <c r="B4030" s="61">
        <v>3997</v>
      </c>
      <c r="C4030" s="61">
        <v>219067.94477573526</v>
      </c>
      <c r="D4030" s="102">
        <v>0.24542743192469518</v>
      </c>
    </row>
    <row r="4031" spans="2:4" x14ac:dyDescent="0.25">
      <c r="B4031" s="61">
        <v>3998</v>
      </c>
      <c r="C4031" s="61">
        <v>352163.49088710488</v>
      </c>
      <c r="D4031" s="102">
        <v>0.28902152370788037</v>
      </c>
    </row>
    <row r="4032" spans="2:4" x14ac:dyDescent="0.25">
      <c r="B4032" s="61">
        <v>3999</v>
      </c>
      <c r="C4032" s="61">
        <v>457681.41262081941</v>
      </c>
      <c r="D4032" s="102">
        <v>0.41161724906250052</v>
      </c>
    </row>
    <row r="4033" spans="2:4" x14ac:dyDescent="0.25">
      <c r="B4033" s="61">
        <v>4000</v>
      </c>
      <c r="C4033" s="61">
        <v>293040.60138593416</v>
      </c>
      <c r="D4033" s="102">
        <v>0.31850981237803322</v>
      </c>
    </row>
    <row r="4034" spans="2:4" x14ac:dyDescent="0.25">
      <c r="B4034" s="61">
        <v>4001</v>
      </c>
      <c r="C4034" s="61">
        <v>139226.68954557268</v>
      </c>
      <c r="D4034" s="102">
        <v>0.18819100873597017</v>
      </c>
    </row>
    <row r="4035" spans="2:4" x14ac:dyDescent="0.25">
      <c r="B4035" s="61">
        <v>4002</v>
      </c>
      <c r="C4035" s="61">
        <v>288544.42444203165</v>
      </c>
      <c r="D4035" s="102">
        <v>0.31847454491174543</v>
      </c>
    </row>
    <row r="4036" spans="2:4" x14ac:dyDescent="0.25">
      <c r="B4036" s="61">
        <v>4003</v>
      </c>
      <c r="C4036" s="61">
        <v>526075.82380287768</v>
      </c>
      <c r="D4036" s="102">
        <v>0.43837726151435286</v>
      </c>
    </row>
    <row r="4037" spans="2:4" x14ac:dyDescent="0.25">
      <c r="B4037" s="61">
        <v>4004</v>
      </c>
      <c r="C4037" s="61">
        <v>237476.11892787996</v>
      </c>
      <c r="D4037" s="102">
        <v>0.26928163957796403</v>
      </c>
    </row>
    <row r="4038" spans="2:4" x14ac:dyDescent="0.25">
      <c r="B4038" s="61">
        <v>4005</v>
      </c>
      <c r="C4038" s="61">
        <v>332801.72474854952</v>
      </c>
      <c r="D4038" s="102">
        <v>0.29188473920722391</v>
      </c>
    </row>
    <row r="4039" spans="2:4" x14ac:dyDescent="0.25">
      <c r="B4039" s="61">
        <v>4006</v>
      </c>
      <c r="C4039" s="61">
        <v>247469.40923627676</v>
      </c>
      <c r="D4039" s="102">
        <v>0.2276660441405749</v>
      </c>
    </row>
    <row r="4040" spans="2:4" x14ac:dyDescent="0.25">
      <c r="B4040" s="61">
        <v>4007</v>
      </c>
      <c r="C4040" s="61">
        <v>218254.14710497682</v>
      </c>
      <c r="D4040" s="102">
        <v>0.24444436496861521</v>
      </c>
    </row>
    <row r="4041" spans="2:4" x14ac:dyDescent="0.25">
      <c r="B4041" s="61">
        <v>4008</v>
      </c>
      <c r="C4041" s="61">
        <v>304224.74932585785</v>
      </c>
      <c r="D4041" s="102">
        <v>0.2914811715420027</v>
      </c>
    </row>
    <row r="4042" spans="2:4" x14ac:dyDescent="0.25">
      <c r="B4042" s="61">
        <v>4009</v>
      </c>
      <c r="C4042" s="61">
        <v>142896.42361608648</v>
      </c>
      <c r="D4042" s="102">
        <v>0.21377689873666994</v>
      </c>
    </row>
    <row r="4043" spans="2:4" x14ac:dyDescent="0.25">
      <c r="B4043" s="61">
        <v>4010</v>
      </c>
      <c r="C4043" s="61">
        <v>257101.69105239189</v>
      </c>
      <c r="D4043" s="102">
        <v>0.27007692821291762</v>
      </c>
    </row>
    <row r="4044" spans="2:4" x14ac:dyDescent="0.25">
      <c r="B4044" s="61">
        <v>4011</v>
      </c>
      <c r="C4044" s="61">
        <v>295606.5245780847</v>
      </c>
      <c r="D4044" s="102">
        <v>0.30970829201228156</v>
      </c>
    </row>
    <row r="4045" spans="2:4" x14ac:dyDescent="0.25">
      <c r="B4045" s="61">
        <v>4012</v>
      </c>
      <c r="C4045" s="61">
        <v>230568.04493204656</v>
      </c>
      <c r="D4045" s="102">
        <v>0.23393022477227121</v>
      </c>
    </row>
    <row r="4046" spans="2:4" x14ac:dyDescent="0.25">
      <c r="B4046" s="61">
        <v>4013</v>
      </c>
      <c r="C4046" s="61">
        <v>242126.40483079711</v>
      </c>
      <c r="D4046" s="102">
        <v>0.21019403636305389</v>
      </c>
    </row>
    <row r="4047" spans="2:4" x14ac:dyDescent="0.25">
      <c r="B4047" s="61">
        <v>4014</v>
      </c>
      <c r="C4047" s="61">
        <v>562150.92689545138</v>
      </c>
      <c r="D4047" s="102">
        <v>0.57798444109671254</v>
      </c>
    </row>
    <row r="4048" spans="2:4" x14ac:dyDescent="0.25">
      <c r="B4048" s="61">
        <v>4015</v>
      </c>
      <c r="C4048" s="61">
        <v>381177.30798737356</v>
      </c>
      <c r="D4048" s="102">
        <v>0.35957411022724783</v>
      </c>
    </row>
    <row r="4049" spans="2:4" x14ac:dyDescent="0.25">
      <c r="B4049" s="61">
        <v>4016</v>
      </c>
      <c r="C4049" s="61">
        <v>439174.82053388131</v>
      </c>
      <c r="D4049" s="102">
        <v>0.44462376618114141</v>
      </c>
    </row>
    <row r="4050" spans="2:4" x14ac:dyDescent="0.25">
      <c r="B4050" s="61">
        <v>4017</v>
      </c>
      <c r="C4050" s="61">
        <v>397484.03769775352</v>
      </c>
      <c r="D4050" s="102">
        <v>0.39132704453685041</v>
      </c>
    </row>
    <row r="4051" spans="2:4" x14ac:dyDescent="0.25">
      <c r="B4051" s="61">
        <v>4018</v>
      </c>
      <c r="C4051" s="61">
        <v>265483.57269147085</v>
      </c>
      <c r="D4051" s="102">
        <v>0.28836010644712862</v>
      </c>
    </row>
    <row r="4052" spans="2:4" x14ac:dyDescent="0.25">
      <c r="B4052" s="61">
        <v>4019</v>
      </c>
      <c r="C4052" s="61">
        <v>449075.09840224357</v>
      </c>
      <c r="D4052" s="102">
        <v>0.47036867981364883</v>
      </c>
    </row>
    <row r="4053" spans="2:4" x14ac:dyDescent="0.25">
      <c r="B4053" s="61">
        <v>4020</v>
      </c>
      <c r="C4053" s="61">
        <v>504146.60755617579</v>
      </c>
      <c r="D4053" s="102">
        <v>0.56054729484933485</v>
      </c>
    </row>
    <row r="4054" spans="2:4" x14ac:dyDescent="0.25">
      <c r="B4054" s="61">
        <v>4021</v>
      </c>
      <c r="C4054" s="61">
        <v>73724.489862884337</v>
      </c>
      <c r="D4054" s="102">
        <v>0.12667882291454058</v>
      </c>
    </row>
    <row r="4055" spans="2:4" x14ac:dyDescent="0.25">
      <c r="B4055" s="61">
        <v>4022</v>
      </c>
      <c r="C4055" s="61">
        <v>458132.34410216915</v>
      </c>
      <c r="D4055" s="102">
        <v>0.41098964664471627</v>
      </c>
    </row>
    <row r="4056" spans="2:4" x14ac:dyDescent="0.25">
      <c r="B4056" s="61">
        <v>4023</v>
      </c>
      <c r="C4056" s="61">
        <v>124607.95721424255</v>
      </c>
      <c r="D4056" s="102">
        <v>0.15969578739020185</v>
      </c>
    </row>
    <row r="4057" spans="2:4" x14ac:dyDescent="0.25">
      <c r="B4057" s="61">
        <v>4024</v>
      </c>
      <c r="C4057" s="61">
        <v>226453.61328485596</v>
      </c>
      <c r="D4057" s="102">
        <v>0.25378217833743011</v>
      </c>
    </row>
    <row r="4058" spans="2:4" x14ac:dyDescent="0.25">
      <c r="B4058" s="61">
        <v>4025</v>
      </c>
      <c r="C4058" s="61">
        <v>312118.88668890065</v>
      </c>
      <c r="D4058" s="102">
        <v>0.30054049431408592</v>
      </c>
    </row>
    <row r="4059" spans="2:4" x14ac:dyDescent="0.25">
      <c r="B4059" s="61">
        <v>4026</v>
      </c>
      <c r="C4059" s="61">
        <v>187627.47429597785</v>
      </c>
      <c r="D4059" s="102">
        <v>0.26448145017543778</v>
      </c>
    </row>
    <row r="4060" spans="2:4" x14ac:dyDescent="0.25">
      <c r="B4060" s="61">
        <v>4027</v>
      </c>
      <c r="C4060" s="61">
        <v>477458.60161283321</v>
      </c>
      <c r="D4060" s="102">
        <v>0.40564735852295497</v>
      </c>
    </row>
    <row r="4061" spans="2:4" x14ac:dyDescent="0.25">
      <c r="B4061" s="61">
        <v>4028</v>
      </c>
      <c r="C4061" s="61">
        <v>31748.263649382454</v>
      </c>
      <c r="D4061" s="102">
        <v>9.227054797409906E-2</v>
      </c>
    </row>
    <row r="4062" spans="2:4" x14ac:dyDescent="0.25">
      <c r="B4062" s="61">
        <v>4029</v>
      </c>
      <c r="C4062" s="61">
        <v>159273.85923190217</v>
      </c>
      <c r="D4062" s="102">
        <v>0.18343113152680401</v>
      </c>
    </row>
    <row r="4063" spans="2:4" x14ac:dyDescent="0.25">
      <c r="B4063" s="61">
        <v>4030</v>
      </c>
      <c r="C4063" s="61">
        <v>371196.94397546886</v>
      </c>
      <c r="D4063" s="102">
        <v>0.38355341506112617</v>
      </c>
    </row>
    <row r="4064" spans="2:4" x14ac:dyDescent="0.25">
      <c r="B4064" s="61">
        <v>4031</v>
      </c>
      <c r="C4064" s="61">
        <v>115798.70926819893</v>
      </c>
      <c r="D4064" s="102">
        <v>0.16261433285851168</v>
      </c>
    </row>
    <row r="4065" spans="2:4" x14ac:dyDescent="0.25">
      <c r="B4065" s="61">
        <v>4032</v>
      </c>
      <c r="C4065" s="61">
        <v>160070.63020626316</v>
      </c>
      <c r="D4065" s="102">
        <v>0.2227669431398851</v>
      </c>
    </row>
    <row r="4066" spans="2:4" x14ac:dyDescent="0.25">
      <c r="B4066" s="61">
        <v>4033</v>
      </c>
      <c r="C4066" s="61">
        <v>331438.53017319692</v>
      </c>
      <c r="D4066" s="102">
        <v>0.3511652053562011</v>
      </c>
    </row>
    <row r="4067" spans="2:4" x14ac:dyDescent="0.25">
      <c r="B4067" s="61">
        <v>4034</v>
      </c>
      <c r="C4067" s="61">
        <v>325777.60837880499</v>
      </c>
      <c r="D4067" s="102">
        <v>0.30114439128060888</v>
      </c>
    </row>
    <row r="4068" spans="2:4" x14ac:dyDescent="0.25">
      <c r="B4068" s="61">
        <v>4035</v>
      </c>
      <c r="C4068" s="61">
        <v>156715.89782014611</v>
      </c>
      <c r="D4068" s="102">
        <v>0.21247613499264872</v>
      </c>
    </row>
    <row r="4069" spans="2:4" x14ac:dyDescent="0.25">
      <c r="B4069" s="61">
        <v>4036</v>
      </c>
      <c r="C4069" s="61">
        <v>222310.10765155044</v>
      </c>
      <c r="D4069" s="102">
        <v>0.32269706777401019</v>
      </c>
    </row>
    <row r="4070" spans="2:4" x14ac:dyDescent="0.25">
      <c r="B4070" s="61">
        <v>4037</v>
      </c>
      <c r="C4070" s="61">
        <v>404268.45089369803</v>
      </c>
      <c r="D4070" s="102">
        <v>0.42624946399397978</v>
      </c>
    </row>
    <row r="4071" spans="2:4" x14ac:dyDescent="0.25">
      <c r="B4071" s="61">
        <v>4038</v>
      </c>
      <c r="C4071" s="61">
        <v>250850.98406758008</v>
      </c>
      <c r="D4071" s="102">
        <v>0.29660095523293362</v>
      </c>
    </row>
    <row r="4072" spans="2:4" x14ac:dyDescent="0.25">
      <c r="B4072" s="61">
        <v>4039</v>
      </c>
      <c r="C4072" s="61">
        <v>148885.90141806845</v>
      </c>
      <c r="D4072" s="102">
        <v>0.15664721419304595</v>
      </c>
    </row>
    <row r="4073" spans="2:4" x14ac:dyDescent="0.25">
      <c r="B4073" s="61">
        <v>4040</v>
      </c>
      <c r="C4073" s="61">
        <v>209652.90656782268</v>
      </c>
      <c r="D4073" s="102">
        <v>0.21884611397747511</v>
      </c>
    </row>
    <row r="4074" spans="2:4" x14ac:dyDescent="0.25">
      <c r="B4074" s="61">
        <v>4041</v>
      </c>
      <c r="C4074" s="61">
        <v>250968.71887422772</v>
      </c>
      <c r="D4074" s="102">
        <v>0.22385249450481326</v>
      </c>
    </row>
    <row r="4075" spans="2:4" x14ac:dyDescent="0.25">
      <c r="B4075" s="61">
        <v>4042</v>
      </c>
      <c r="C4075" s="61">
        <v>269553.30063322489</v>
      </c>
      <c r="D4075" s="102">
        <v>0.30198245228858456</v>
      </c>
    </row>
    <row r="4076" spans="2:4" x14ac:dyDescent="0.25">
      <c r="B4076" s="61">
        <v>4043</v>
      </c>
      <c r="C4076" s="61">
        <v>236219.73066288116</v>
      </c>
      <c r="D4076" s="102">
        <v>0.27837366044481904</v>
      </c>
    </row>
    <row r="4077" spans="2:4" x14ac:dyDescent="0.25">
      <c r="B4077" s="61">
        <v>4044</v>
      </c>
      <c r="C4077" s="61">
        <v>288309.19802693068</v>
      </c>
      <c r="D4077" s="102">
        <v>0.30845367733347762</v>
      </c>
    </row>
    <row r="4078" spans="2:4" x14ac:dyDescent="0.25">
      <c r="B4078" s="61">
        <v>4045</v>
      </c>
      <c r="C4078" s="61">
        <v>127385.23646353395</v>
      </c>
      <c r="D4078" s="102">
        <v>0.15285503432007563</v>
      </c>
    </row>
    <row r="4079" spans="2:4" x14ac:dyDescent="0.25">
      <c r="B4079" s="61">
        <v>4046</v>
      </c>
      <c r="C4079" s="61">
        <v>294482.67920693429</v>
      </c>
      <c r="D4079" s="102">
        <v>0.24714841646498953</v>
      </c>
    </row>
    <row r="4080" spans="2:4" x14ac:dyDescent="0.25">
      <c r="B4080" s="61">
        <v>4047</v>
      </c>
      <c r="C4080" s="61">
        <v>235497.15501180803</v>
      </c>
      <c r="D4080" s="102">
        <v>0.34015426209401722</v>
      </c>
    </row>
    <row r="4081" spans="2:4" x14ac:dyDescent="0.25">
      <c r="B4081" s="61">
        <v>4048</v>
      </c>
      <c r="C4081" s="61">
        <v>249649.26071279636</v>
      </c>
      <c r="D4081" s="102">
        <v>0.25853882664363481</v>
      </c>
    </row>
    <row r="4082" spans="2:4" x14ac:dyDescent="0.25">
      <c r="B4082" s="61">
        <v>4049</v>
      </c>
      <c r="C4082" s="61">
        <v>322544.7102993147</v>
      </c>
      <c r="D4082" s="102">
        <v>0.27277661735970926</v>
      </c>
    </row>
    <row r="4083" spans="2:4" x14ac:dyDescent="0.25">
      <c r="B4083" s="61">
        <v>4050</v>
      </c>
      <c r="C4083" s="61">
        <v>235291.41225974075</v>
      </c>
      <c r="D4083" s="102">
        <v>0.25651363174067687</v>
      </c>
    </row>
    <row r="4084" spans="2:4" x14ac:dyDescent="0.25">
      <c r="B4084" s="61">
        <v>4051</v>
      </c>
      <c r="C4084" s="61">
        <v>221146.52588758012</v>
      </c>
      <c r="D4084" s="102">
        <v>0.22874902711221123</v>
      </c>
    </row>
    <row r="4085" spans="2:4" x14ac:dyDescent="0.25">
      <c r="B4085" s="61">
        <v>4052</v>
      </c>
      <c r="C4085" s="61">
        <v>189556.17633435398</v>
      </c>
      <c r="D4085" s="102">
        <v>0.20459713104614785</v>
      </c>
    </row>
    <row r="4086" spans="2:4" x14ac:dyDescent="0.25">
      <c r="B4086" s="61">
        <v>4053</v>
      </c>
      <c r="C4086" s="61">
        <v>379566.31187070906</v>
      </c>
      <c r="D4086" s="102">
        <v>0.38817807535153426</v>
      </c>
    </row>
    <row r="4087" spans="2:4" x14ac:dyDescent="0.25">
      <c r="B4087" s="61">
        <v>4054</v>
      </c>
      <c r="C4087" s="61">
        <v>357786.40355275385</v>
      </c>
      <c r="D4087" s="102">
        <v>0.35929859231212014</v>
      </c>
    </row>
    <row r="4088" spans="2:4" x14ac:dyDescent="0.25">
      <c r="B4088" s="61">
        <v>4055</v>
      </c>
      <c r="C4088" s="61">
        <v>192109.02537558135</v>
      </c>
      <c r="D4088" s="102">
        <v>0.26067161714083786</v>
      </c>
    </row>
    <row r="4089" spans="2:4" x14ac:dyDescent="0.25">
      <c r="B4089" s="61">
        <v>4056</v>
      </c>
      <c r="C4089" s="61">
        <v>278990.86231269222</v>
      </c>
      <c r="D4089" s="102">
        <v>0.25976063133489857</v>
      </c>
    </row>
    <row r="4090" spans="2:4" x14ac:dyDescent="0.25">
      <c r="B4090" s="61">
        <v>4057</v>
      </c>
      <c r="C4090" s="61">
        <v>187658.59732296306</v>
      </c>
      <c r="D4090" s="102">
        <v>0.23004292786338976</v>
      </c>
    </row>
    <row r="4091" spans="2:4" x14ac:dyDescent="0.25">
      <c r="B4091" s="61">
        <v>4058</v>
      </c>
      <c r="C4091" s="61">
        <v>339923.33051991905</v>
      </c>
      <c r="D4091" s="102">
        <v>0.34302127151978956</v>
      </c>
    </row>
    <row r="4092" spans="2:4" x14ac:dyDescent="0.25">
      <c r="B4092" s="61">
        <v>4059</v>
      </c>
      <c r="C4092" s="61">
        <v>233266.77537729661</v>
      </c>
      <c r="D4092" s="102">
        <v>0.26197366805460143</v>
      </c>
    </row>
    <row r="4093" spans="2:4" x14ac:dyDescent="0.25">
      <c r="B4093" s="61">
        <v>4060</v>
      </c>
      <c r="C4093" s="61">
        <v>133517.20853602281</v>
      </c>
      <c r="D4093" s="102">
        <v>0.16433993126288149</v>
      </c>
    </row>
    <row r="4094" spans="2:4" x14ac:dyDescent="0.25">
      <c r="B4094" s="61">
        <v>4061</v>
      </c>
      <c r="C4094" s="61">
        <v>299097.17397981463</v>
      </c>
      <c r="D4094" s="102">
        <v>0.27660910750691126</v>
      </c>
    </row>
    <row r="4095" spans="2:4" x14ac:dyDescent="0.25">
      <c r="B4095" s="61">
        <v>4062</v>
      </c>
      <c r="C4095" s="61">
        <v>354701.28107135033</v>
      </c>
      <c r="D4095" s="102">
        <v>0.34123734075539436</v>
      </c>
    </row>
    <row r="4096" spans="2:4" x14ac:dyDescent="0.25">
      <c r="B4096" s="61">
        <v>4063</v>
      </c>
      <c r="C4096" s="61">
        <v>360314.85973441065</v>
      </c>
      <c r="D4096" s="102">
        <v>0.32791968928832715</v>
      </c>
    </row>
    <row r="4097" spans="2:4" x14ac:dyDescent="0.25">
      <c r="B4097" s="61">
        <v>4064</v>
      </c>
      <c r="C4097" s="61">
        <v>256081.40389615309</v>
      </c>
      <c r="D4097" s="102">
        <v>0.28770211259530409</v>
      </c>
    </row>
    <row r="4098" spans="2:4" x14ac:dyDescent="0.25">
      <c r="B4098" s="61">
        <v>4065</v>
      </c>
      <c r="C4098" s="61">
        <v>78225.285165771958</v>
      </c>
      <c r="D4098" s="102">
        <v>0.12001832229938914</v>
      </c>
    </row>
    <row r="4099" spans="2:4" x14ac:dyDescent="0.25">
      <c r="B4099" s="61">
        <v>4066</v>
      </c>
      <c r="C4099" s="61">
        <v>353226.2097480573</v>
      </c>
      <c r="D4099" s="102">
        <v>0.30154824670623204</v>
      </c>
    </row>
    <row r="4100" spans="2:4" x14ac:dyDescent="0.25">
      <c r="B4100" s="61">
        <v>4067</v>
      </c>
      <c r="C4100" s="61">
        <v>356206.81535406713</v>
      </c>
      <c r="D4100" s="102">
        <v>0.28292912833842987</v>
      </c>
    </row>
    <row r="4101" spans="2:4" x14ac:dyDescent="0.25">
      <c r="B4101" s="61">
        <v>4068</v>
      </c>
      <c r="C4101" s="61">
        <v>54063.085870122421</v>
      </c>
      <c r="D4101" s="102">
        <v>0.1098166251724082</v>
      </c>
    </row>
    <row r="4102" spans="2:4" x14ac:dyDescent="0.25">
      <c r="B4102" s="61">
        <v>4069</v>
      </c>
      <c r="C4102" s="61">
        <v>510923.8915732915</v>
      </c>
      <c r="D4102" s="102">
        <v>0.43152561968873648</v>
      </c>
    </row>
    <row r="4103" spans="2:4" x14ac:dyDescent="0.25">
      <c r="B4103" s="61">
        <v>4070</v>
      </c>
      <c r="C4103" s="61">
        <v>203662.16852443118</v>
      </c>
      <c r="D4103" s="102">
        <v>0.22633099535797263</v>
      </c>
    </row>
    <row r="4104" spans="2:4" x14ac:dyDescent="0.25">
      <c r="B4104" s="61">
        <v>4071</v>
      </c>
      <c r="C4104" s="61">
        <v>-17178.884443902993</v>
      </c>
      <c r="D4104" s="102">
        <v>4.5759303287125963E-2</v>
      </c>
    </row>
    <row r="4105" spans="2:4" x14ac:dyDescent="0.25">
      <c r="B4105" s="61">
        <v>4072</v>
      </c>
      <c r="C4105" s="61">
        <v>253051.53465307329</v>
      </c>
      <c r="D4105" s="102">
        <v>0.21815403983939263</v>
      </c>
    </row>
    <row r="4106" spans="2:4" x14ac:dyDescent="0.25">
      <c r="B4106" s="61">
        <v>4073</v>
      </c>
      <c r="C4106" s="61">
        <v>202985.51801203436</v>
      </c>
      <c r="D4106" s="102">
        <v>0.20299135306028493</v>
      </c>
    </row>
    <row r="4107" spans="2:4" x14ac:dyDescent="0.25">
      <c r="B4107" s="61">
        <v>4074</v>
      </c>
      <c r="C4107" s="61">
        <v>114082.83713810379</v>
      </c>
      <c r="D4107" s="102">
        <v>0.17209625843052923</v>
      </c>
    </row>
    <row r="4108" spans="2:4" x14ac:dyDescent="0.25">
      <c r="B4108" s="61">
        <v>4075</v>
      </c>
      <c r="C4108" s="61">
        <v>153637.60784935259</v>
      </c>
      <c r="D4108" s="102">
        <v>0.22440111090377712</v>
      </c>
    </row>
    <row r="4109" spans="2:4" x14ac:dyDescent="0.25">
      <c r="B4109" s="61">
        <v>4076</v>
      </c>
      <c r="C4109" s="61">
        <v>173525.85274047486</v>
      </c>
      <c r="D4109" s="102">
        <v>0.17655176290947305</v>
      </c>
    </row>
    <row r="4110" spans="2:4" x14ac:dyDescent="0.25">
      <c r="B4110" s="61">
        <v>4077</v>
      </c>
      <c r="C4110" s="61">
        <v>242888.01014336455</v>
      </c>
      <c r="D4110" s="102">
        <v>0.23224295512741899</v>
      </c>
    </row>
    <row r="4111" spans="2:4" x14ac:dyDescent="0.25">
      <c r="B4111" s="61">
        <v>4078</v>
      </c>
      <c r="C4111" s="61">
        <v>407128.93495575257</v>
      </c>
      <c r="D4111" s="102">
        <v>0.36489228462762546</v>
      </c>
    </row>
    <row r="4112" spans="2:4" x14ac:dyDescent="0.25">
      <c r="B4112" s="61">
        <v>4079</v>
      </c>
      <c r="C4112" s="61">
        <v>-9791.5953037771396</v>
      </c>
      <c r="D4112" s="102">
        <v>5.7130398621080269E-2</v>
      </c>
    </row>
    <row r="4113" spans="2:4" x14ac:dyDescent="0.25">
      <c r="B4113" s="61">
        <v>4080</v>
      </c>
      <c r="C4113" s="61">
        <v>251361.50759216875</v>
      </c>
      <c r="D4113" s="102">
        <v>0.22412184523783529</v>
      </c>
    </row>
    <row r="4114" spans="2:4" x14ac:dyDescent="0.25">
      <c r="B4114" s="61">
        <v>4081</v>
      </c>
      <c r="C4114" s="61">
        <v>75149.263197471737</v>
      </c>
      <c r="D4114" s="102">
        <v>0.1225892458021185</v>
      </c>
    </row>
    <row r="4115" spans="2:4" x14ac:dyDescent="0.25">
      <c r="B4115" s="61">
        <v>4082</v>
      </c>
      <c r="C4115" s="61">
        <v>298603.97849402821</v>
      </c>
      <c r="D4115" s="102">
        <v>0.31599400917678366</v>
      </c>
    </row>
    <row r="4116" spans="2:4" x14ac:dyDescent="0.25">
      <c r="B4116" s="61">
        <v>4083</v>
      </c>
      <c r="C4116" s="61">
        <v>287820.66151314171</v>
      </c>
      <c r="D4116" s="102">
        <v>0.26425084136354227</v>
      </c>
    </row>
    <row r="4117" spans="2:4" x14ac:dyDescent="0.25">
      <c r="B4117" s="61">
        <v>4084</v>
      </c>
      <c r="C4117" s="61">
        <v>524680.18132340931</v>
      </c>
      <c r="D4117" s="102">
        <v>0.55935122520329927</v>
      </c>
    </row>
    <row r="4118" spans="2:4" x14ac:dyDescent="0.25">
      <c r="B4118" s="61">
        <v>4085</v>
      </c>
      <c r="C4118" s="61">
        <v>324203.47178467701</v>
      </c>
      <c r="D4118" s="102">
        <v>0.31995328940566425</v>
      </c>
    </row>
    <row r="4119" spans="2:4" x14ac:dyDescent="0.25">
      <c r="B4119" s="61">
        <v>4086</v>
      </c>
      <c r="C4119" s="61">
        <v>298443.00739409623</v>
      </c>
      <c r="D4119" s="102">
        <v>0.26304056989972602</v>
      </c>
    </row>
    <row r="4120" spans="2:4" x14ac:dyDescent="0.25">
      <c r="B4120" s="61">
        <v>4087</v>
      </c>
      <c r="C4120" s="61">
        <v>243420.55278785934</v>
      </c>
      <c r="D4120" s="102">
        <v>0.27307822127529957</v>
      </c>
    </row>
    <row r="4121" spans="2:4" x14ac:dyDescent="0.25">
      <c r="B4121" s="61">
        <v>4088</v>
      </c>
      <c r="C4121" s="61">
        <v>202038.25421445456</v>
      </c>
      <c r="D4121" s="102">
        <v>0.21286421749851336</v>
      </c>
    </row>
    <row r="4122" spans="2:4" x14ac:dyDescent="0.25">
      <c r="B4122" s="61">
        <v>4089</v>
      </c>
      <c r="C4122" s="61">
        <v>33210.534829557699</v>
      </c>
      <c r="D4122" s="102">
        <v>8.8609195611466962E-2</v>
      </c>
    </row>
    <row r="4123" spans="2:4" x14ac:dyDescent="0.25">
      <c r="B4123" s="61">
        <v>4090</v>
      </c>
      <c r="C4123" s="61">
        <v>314318.00390318409</v>
      </c>
      <c r="D4123" s="102">
        <v>0.32187229936445316</v>
      </c>
    </row>
    <row r="4124" spans="2:4" x14ac:dyDescent="0.25">
      <c r="B4124" s="61">
        <v>4091</v>
      </c>
      <c r="C4124" s="61">
        <v>258491.88253405155</v>
      </c>
      <c r="D4124" s="102">
        <v>0.28912224125050923</v>
      </c>
    </row>
    <row r="4125" spans="2:4" x14ac:dyDescent="0.25">
      <c r="B4125" s="61">
        <v>4092</v>
      </c>
      <c r="C4125" s="61">
        <v>262420.76649850281</v>
      </c>
      <c r="D4125" s="102">
        <v>0.27471034599136757</v>
      </c>
    </row>
    <row r="4126" spans="2:4" x14ac:dyDescent="0.25">
      <c r="B4126" s="61">
        <v>4093</v>
      </c>
      <c r="C4126" s="61">
        <v>287222.93200513034</v>
      </c>
      <c r="D4126" s="102">
        <v>0.33834796984856186</v>
      </c>
    </row>
    <row r="4127" spans="2:4" x14ac:dyDescent="0.25">
      <c r="B4127" s="61">
        <v>4094</v>
      </c>
      <c r="C4127" s="61">
        <v>105520.49090007273</v>
      </c>
      <c r="D4127" s="102">
        <v>0.14947795572939193</v>
      </c>
    </row>
    <row r="4128" spans="2:4" x14ac:dyDescent="0.25">
      <c r="B4128" s="61">
        <v>4095</v>
      </c>
      <c r="C4128" s="61">
        <v>94945.27121296199</v>
      </c>
      <c r="D4128" s="102">
        <v>0.16983616267885271</v>
      </c>
    </row>
    <row r="4129" spans="2:4" x14ac:dyDescent="0.25">
      <c r="B4129" s="61">
        <v>4096</v>
      </c>
      <c r="C4129" s="61">
        <v>518215.60944791615</v>
      </c>
      <c r="D4129" s="102">
        <v>0.52125389707149838</v>
      </c>
    </row>
    <row r="4130" spans="2:4" x14ac:dyDescent="0.25">
      <c r="B4130" s="61">
        <v>4097</v>
      </c>
      <c r="C4130" s="61">
        <v>13581.437684786739</v>
      </c>
      <c r="D4130" s="102">
        <v>7.2325085866321581E-2</v>
      </c>
    </row>
    <row r="4131" spans="2:4" x14ac:dyDescent="0.25">
      <c r="B4131" s="61">
        <v>4098</v>
      </c>
      <c r="C4131" s="61">
        <v>420844.57007433684</v>
      </c>
      <c r="D4131" s="102">
        <v>0.37199039746777118</v>
      </c>
    </row>
    <row r="4132" spans="2:4" x14ac:dyDescent="0.25">
      <c r="B4132" s="61">
        <v>4099</v>
      </c>
      <c r="C4132" s="61">
        <v>240185.84123011655</v>
      </c>
      <c r="D4132" s="102">
        <v>0.24653823327768087</v>
      </c>
    </row>
    <row r="4133" spans="2:4" x14ac:dyDescent="0.25">
      <c r="B4133" s="61">
        <v>4100</v>
      </c>
      <c r="C4133" s="61">
        <v>172058.10167561553</v>
      </c>
      <c r="D4133" s="102">
        <v>0.19150193383196346</v>
      </c>
    </row>
    <row r="4134" spans="2:4" x14ac:dyDescent="0.25">
      <c r="B4134" s="61">
        <v>4101</v>
      </c>
      <c r="C4134" s="61">
        <v>104013.99491356959</v>
      </c>
      <c r="D4134" s="102">
        <v>0.15101479948928009</v>
      </c>
    </row>
    <row r="4135" spans="2:4" x14ac:dyDescent="0.25">
      <c r="B4135" s="61">
        <v>4102</v>
      </c>
      <c r="C4135" s="61">
        <v>506438.54787428398</v>
      </c>
      <c r="D4135" s="102">
        <v>0.43368722406303406</v>
      </c>
    </row>
    <row r="4136" spans="2:4" x14ac:dyDescent="0.25">
      <c r="B4136" s="61">
        <v>4103</v>
      </c>
      <c r="C4136" s="61">
        <v>360431.49344115064</v>
      </c>
      <c r="D4136" s="102">
        <v>0.33150934352455841</v>
      </c>
    </row>
    <row r="4137" spans="2:4" x14ac:dyDescent="0.25">
      <c r="B4137" s="61">
        <v>4104</v>
      </c>
      <c r="C4137" s="61">
        <v>137165.80650540465</v>
      </c>
      <c r="D4137" s="102">
        <v>0.18243820730643057</v>
      </c>
    </row>
    <row r="4138" spans="2:4" x14ac:dyDescent="0.25">
      <c r="B4138" s="61">
        <v>4105</v>
      </c>
      <c r="C4138" s="61">
        <v>367470.08495539008</v>
      </c>
      <c r="D4138" s="102">
        <v>0.37204326588789471</v>
      </c>
    </row>
    <row r="4139" spans="2:4" x14ac:dyDescent="0.25">
      <c r="B4139" s="61">
        <v>4106</v>
      </c>
      <c r="C4139" s="61">
        <v>55989.231189440761</v>
      </c>
      <c r="D4139" s="102">
        <v>0.10406292098875114</v>
      </c>
    </row>
    <row r="4140" spans="2:4" x14ac:dyDescent="0.25">
      <c r="B4140" s="61">
        <v>4107</v>
      </c>
      <c r="C4140" s="61">
        <v>150466.9549647792</v>
      </c>
      <c r="D4140" s="102">
        <v>0.21241871742841201</v>
      </c>
    </row>
    <row r="4141" spans="2:4" x14ac:dyDescent="0.25">
      <c r="B4141" s="61">
        <v>4108</v>
      </c>
      <c r="C4141" s="61">
        <v>59125.343645612593</v>
      </c>
      <c r="D4141" s="102">
        <v>0.10435771174303987</v>
      </c>
    </row>
    <row r="4142" spans="2:4" x14ac:dyDescent="0.25">
      <c r="B4142" s="61">
        <v>4109</v>
      </c>
      <c r="C4142" s="61">
        <v>-13327.997181913815</v>
      </c>
      <c r="D4142" s="102">
        <v>4.902988625209681E-2</v>
      </c>
    </row>
    <row r="4143" spans="2:4" x14ac:dyDescent="0.25">
      <c r="B4143" s="61">
        <v>4110</v>
      </c>
      <c r="C4143" s="61">
        <v>270852.9374731062</v>
      </c>
      <c r="D4143" s="102">
        <v>0.30237317743467274</v>
      </c>
    </row>
    <row r="4144" spans="2:4" x14ac:dyDescent="0.25">
      <c r="B4144" s="61">
        <v>4111</v>
      </c>
      <c r="C4144" s="61">
        <v>321517.77588016412</v>
      </c>
      <c r="D4144" s="102">
        <v>0.34434303560729496</v>
      </c>
    </row>
    <row r="4145" spans="2:4" x14ac:dyDescent="0.25">
      <c r="B4145" s="61">
        <v>4112</v>
      </c>
      <c r="C4145" s="61">
        <v>117518.96855482995</v>
      </c>
      <c r="D4145" s="102">
        <v>0.16523707239542884</v>
      </c>
    </row>
    <row r="4146" spans="2:4" x14ac:dyDescent="0.25">
      <c r="B4146" s="61">
        <v>4113</v>
      </c>
      <c r="C4146" s="61">
        <v>151003.36568533187</v>
      </c>
      <c r="D4146" s="102">
        <v>0.18864052403317833</v>
      </c>
    </row>
    <row r="4147" spans="2:4" x14ac:dyDescent="0.25">
      <c r="B4147" s="61">
        <v>4114</v>
      </c>
      <c r="C4147" s="61">
        <v>361279.82472828019</v>
      </c>
      <c r="D4147" s="102">
        <v>0.34550763999090495</v>
      </c>
    </row>
    <row r="4148" spans="2:4" x14ac:dyDescent="0.25">
      <c r="B4148" s="61">
        <v>4115</v>
      </c>
      <c r="C4148" s="61">
        <v>390142.18064364162</v>
      </c>
      <c r="D4148" s="102">
        <v>0.26411553557760237</v>
      </c>
    </row>
    <row r="4149" spans="2:4" x14ac:dyDescent="0.25">
      <c r="B4149" s="61">
        <v>4116</v>
      </c>
      <c r="C4149" s="61">
        <v>311227.78027839644</v>
      </c>
      <c r="D4149" s="102">
        <v>0.31454053715333297</v>
      </c>
    </row>
    <row r="4150" spans="2:4" x14ac:dyDescent="0.25">
      <c r="B4150" s="61">
        <v>4117</v>
      </c>
      <c r="C4150" s="61">
        <v>224416.0195031655</v>
      </c>
      <c r="D4150" s="102">
        <v>0.25103710700554216</v>
      </c>
    </row>
    <row r="4151" spans="2:4" x14ac:dyDescent="0.25">
      <c r="B4151" s="61">
        <v>4118</v>
      </c>
      <c r="C4151" s="61">
        <v>150044.16096790507</v>
      </c>
      <c r="D4151" s="102">
        <v>0.18498644413424437</v>
      </c>
    </row>
    <row r="4152" spans="2:4" x14ac:dyDescent="0.25">
      <c r="B4152" s="61">
        <v>4119</v>
      </c>
      <c r="C4152" s="61">
        <v>373597.54679863772</v>
      </c>
      <c r="D4152" s="102">
        <v>0.35854706609630593</v>
      </c>
    </row>
    <row r="4153" spans="2:4" x14ac:dyDescent="0.25">
      <c r="B4153" s="61">
        <v>4120</v>
      </c>
      <c r="C4153" s="61">
        <v>-9170.0815850836807</v>
      </c>
      <c r="D4153" s="102">
        <v>5.4566759210407989E-2</v>
      </c>
    </row>
    <row r="4154" spans="2:4" x14ac:dyDescent="0.25">
      <c r="B4154" s="61">
        <v>4121</v>
      </c>
      <c r="C4154" s="61">
        <v>207584.52437988145</v>
      </c>
      <c r="D4154" s="102">
        <v>0.19190068744873012</v>
      </c>
    </row>
    <row r="4155" spans="2:4" x14ac:dyDescent="0.25">
      <c r="B4155" s="61">
        <v>4122</v>
      </c>
      <c r="C4155" s="61">
        <v>455475.94630345365</v>
      </c>
      <c r="D4155" s="102">
        <v>0.41434198161848701</v>
      </c>
    </row>
    <row r="4156" spans="2:4" x14ac:dyDescent="0.25">
      <c r="B4156" s="61">
        <v>4123</v>
      </c>
      <c r="C4156" s="61">
        <v>211728.57088972977</v>
      </c>
      <c r="D4156" s="102">
        <v>0.21889779784920371</v>
      </c>
    </row>
    <row r="4157" spans="2:4" x14ac:dyDescent="0.25">
      <c r="B4157" s="61">
        <v>4124</v>
      </c>
      <c r="C4157" s="61">
        <v>-1069.5635622257832</v>
      </c>
      <c r="D4157" s="102">
        <v>6.2689672302764787E-2</v>
      </c>
    </row>
    <row r="4158" spans="2:4" x14ac:dyDescent="0.25">
      <c r="B4158" s="61">
        <v>4125</v>
      </c>
      <c r="C4158" s="61">
        <v>463006.14189622225</v>
      </c>
      <c r="D4158" s="102">
        <v>0.44492867779478718</v>
      </c>
    </row>
    <row r="4159" spans="2:4" x14ac:dyDescent="0.25">
      <c r="B4159" s="61">
        <v>4126</v>
      </c>
      <c r="C4159" s="61">
        <v>582312.67526532977</v>
      </c>
      <c r="D4159" s="102">
        <v>0.48043578539446763</v>
      </c>
    </row>
    <row r="4160" spans="2:4" x14ac:dyDescent="0.25">
      <c r="B4160" s="61">
        <v>4127</v>
      </c>
      <c r="C4160" s="61">
        <v>243083.90525922412</v>
      </c>
      <c r="D4160" s="102">
        <v>0.25284356978740385</v>
      </c>
    </row>
    <row r="4161" spans="2:4" x14ac:dyDescent="0.25">
      <c r="B4161" s="61">
        <v>4128</v>
      </c>
      <c r="C4161" s="61">
        <v>248709.72853095131</v>
      </c>
      <c r="D4161" s="102">
        <v>0.26100665482129815</v>
      </c>
    </row>
    <row r="4162" spans="2:4" x14ac:dyDescent="0.25">
      <c r="B4162" s="61">
        <v>4129</v>
      </c>
      <c r="C4162" s="61">
        <v>144977.85510518705</v>
      </c>
      <c r="D4162" s="102">
        <v>0.21153426434200218</v>
      </c>
    </row>
    <row r="4163" spans="2:4" x14ac:dyDescent="0.25">
      <c r="B4163" s="61">
        <v>4130</v>
      </c>
      <c r="C4163" s="61">
        <v>310990.78380691912</v>
      </c>
      <c r="D4163" s="102">
        <v>0.28512353871670859</v>
      </c>
    </row>
    <row r="4164" spans="2:4" x14ac:dyDescent="0.25">
      <c r="B4164" s="61">
        <v>4131</v>
      </c>
      <c r="C4164" s="61">
        <v>232934.32121296169</v>
      </c>
      <c r="D4164" s="102">
        <v>0.25313464993589929</v>
      </c>
    </row>
    <row r="4165" spans="2:4" x14ac:dyDescent="0.25">
      <c r="B4165" s="61">
        <v>4132</v>
      </c>
      <c r="C4165" s="61">
        <v>376386.58945930901</v>
      </c>
      <c r="D4165" s="102">
        <v>0.36345535391916295</v>
      </c>
    </row>
    <row r="4166" spans="2:4" x14ac:dyDescent="0.25">
      <c r="B4166" s="61">
        <v>4133</v>
      </c>
      <c r="C4166" s="61">
        <v>289401.60589031246</v>
      </c>
      <c r="D4166" s="102">
        <v>0.29493040865558484</v>
      </c>
    </row>
    <row r="4167" spans="2:4" x14ac:dyDescent="0.25">
      <c r="B4167" s="61">
        <v>4134</v>
      </c>
      <c r="C4167" s="61">
        <v>400358.35950568144</v>
      </c>
      <c r="D4167" s="102">
        <v>0.34713481373689814</v>
      </c>
    </row>
    <row r="4168" spans="2:4" x14ac:dyDescent="0.25">
      <c r="B4168" s="61">
        <v>4135</v>
      </c>
      <c r="C4168" s="61">
        <v>268147.60775714333</v>
      </c>
      <c r="D4168" s="102">
        <v>0.25449221391422316</v>
      </c>
    </row>
    <row r="4169" spans="2:4" x14ac:dyDescent="0.25">
      <c r="B4169" s="61">
        <v>4136</v>
      </c>
      <c r="C4169" s="61">
        <v>491591.3053523259</v>
      </c>
      <c r="D4169" s="102">
        <v>0.45089836842032494</v>
      </c>
    </row>
    <row r="4170" spans="2:4" x14ac:dyDescent="0.25">
      <c r="B4170" s="61">
        <v>4137</v>
      </c>
      <c r="C4170" s="61">
        <v>342559.86310377833</v>
      </c>
      <c r="D4170" s="102">
        <v>0.35858176490080385</v>
      </c>
    </row>
    <row r="4171" spans="2:4" x14ac:dyDescent="0.25">
      <c r="B4171" s="61">
        <v>4138</v>
      </c>
      <c r="C4171" s="61">
        <v>268758.88483940368</v>
      </c>
      <c r="D4171" s="102">
        <v>0.27567698736676238</v>
      </c>
    </row>
    <row r="4172" spans="2:4" x14ac:dyDescent="0.25">
      <c r="B4172" s="61">
        <v>4139</v>
      </c>
      <c r="C4172" s="61">
        <v>78768.695545414055</v>
      </c>
      <c r="D4172" s="102">
        <v>0.12795465647078141</v>
      </c>
    </row>
    <row r="4173" spans="2:4" x14ac:dyDescent="0.25">
      <c r="B4173" s="61">
        <v>4140</v>
      </c>
      <c r="C4173" s="61">
        <v>236356.9410046587</v>
      </c>
      <c r="D4173" s="102">
        <v>0.23305853119203324</v>
      </c>
    </row>
    <row r="4174" spans="2:4" x14ac:dyDescent="0.25">
      <c r="B4174" s="61">
        <v>4141</v>
      </c>
      <c r="C4174" s="61">
        <v>193333.29811132897</v>
      </c>
      <c r="D4174" s="102">
        <v>0.23489566151163421</v>
      </c>
    </row>
    <row r="4175" spans="2:4" x14ac:dyDescent="0.25">
      <c r="B4175" s="61">
        <v>4142</v>
      </c>
      <c r="C4175" s="61">
        <v>511133.8925408948</v>
      </c>
      <c r="D4175" s="102">
        <v>0.56267800857886829</v>
      </c>
    </row>
    <row r="4176" spans="2:4" x14ac:dyDescent="0.25">
      <c r="B4176" s="61">
        <v>4143</v>
      </c>
      <c r="C4176" s="61">
        <v>412149.41459712782</v>
      </c>
      <c r="D4176" s="102">
        <v>0.33448893941451896</v>
      </c>
    </row>
    <row r="4177" spans="2:4" x14ac:dyDescent="0.25">
      <c r="B4177" s="61">
        <v>4144</v>
      </c>
      <c r="C4177" s="61">
        <v>223193.06071736827</v>
      </c>
      <c r="D4177" s="102">
        <v>0.25921713731177998</v>
      </c>
    </row>
    <row r="4178" spans="2:4" x14ac:dyDescent="0.25">
      <c r="B4178" s="61">
        <v>4145</v>
      </c>
      <c r="C4178" s="61">
        <v>124505.55687544611</v>
      </c>
      <c r="D4178" s="102">
        <v>0.18132949483209226</v>
      </c>
    </row>
    <row r="4179" spans="2:4" x14ac:dyDescent="0.25">
      <c r="B4179" s="61">
        <v>4146</v>
      </c>
      <c r="C4179" s="61">
        <v>96008.158221552207</v>
      </c>
      <c r="D4179" s="102">
        <v>0.15109184854679625</v>
      </c>
    </row>
    <row r="4180" spans="2:4" x14ac:dyDescent="0.25">
      <c r="B4180" s="61">
        <v>4147</v>
      </c>
      <c r="C4180" s="61">
        <v>12218.882433050952</v>
      </c>
      <c r="D4180" s="102">
        <v>7.4773379378310745E-2</v>
      </c>
    </row>
    <row r="4181" spans="2:4" x14ac:dyDescent="0.25">
      <c r="B4181" s="61">
        <v>4148</v>
      </c>
      <c r="C4181" s="61">
        <v>317294.99927358201</v>
      </c>
      <c r="D4181" s="102">
        <v>0.25897148116444924</v>
      </c>
    </row>
    <row r="4182" spans="2:4" x14ac:dyDescent="0.25">
      <c r="B4182" s="61">
        <v>4149</v>
      </c>
      <c r="C4182" s="61">
        <v>311437.0317386582</v>
      </c>
      <c r="D4182" s="102">
        <v>0.31345143183572111</v>
      </c>
    </row>
    <row r="4183" spans="2:4" x14ac:dyDescent="0.25">
      <c r="B4183" s="61">
        <v>4150</v>
      </c>
      <c r="C4183" s="61">
        <v>96070.248411482142</v>
      </c>
      <c r="D4183" s="102">
        <v>0.14609579609792211</v>
      </c>
    </row>
    <row r="4184" spans="2:4" x14ac:dyDescent="0.25">
      <c r="B4184" s="61">
        <v>4151</v>
      </c>
      <c r="C4184" s="61">
        <v>144414.13607660617</v>
      </c>
      <c r="D4184" s="102">
        <v>0.17320099812131717</v>
      </c>
    </row>
    <row r="4185" spans="2:4" x14ac:dyDescent="0.25">
      <c r="B4185" s="61">
        <v>4152</v>
      </c>
      <c r="C4185" s="61">
        <v>162552.5412801014</v>
      </c>
      <c r="D4185" s="102">
        <v>0.19959259720560341</v>
      </c>
    </row>
    <row r="4186" spans="2:4" x14ac:dyDescent="0.25">
      <c r="B4186" s="61">
        <v>4153</v>
      </c>
      <c r="C4186" s="61">
        <v>196394.18305158417</v>
      </c>
      <c r="D4186" s="102">
        <v>0.19033981232760877</v>
      </c>
    </row>
    <row r="4187" spans="2:4" x14ac:dyDescent="0.25">
      <c r="B4187" s="61">
        <v>4154</v>
      </c>
      <c r="C4187" s="61">
        <v>333861.32701679459</v>
      </c>
      <c r="D4187" s="102">
        <v>0.31840106715589611</v>
      </c>
    </row>
    <row r="4188" spans="2:4" x14ac:dyDescent="0.25">
      <c r="B4188" s="61">
        <v>4155</v>
      </c>
      <c r="C4188" s="61">
        <v>257647.69724938471</v>
      </c>
      <c r="D4188" s="102">
        <v>0.20777402362845354</v>
      </c>
    </row>
    <row r="4189" spans="2:4" x14ac:dyDescent="0.25">
      <c r="B4189" s="61">
        <v>4156</v>
      </c>
      <c r="C4189" s="61">
        <v>66691.059751185647</v>
      </c>
      <c r="D4189" s="102">
        <v>0.12400284838135045</v>
      </c>
    </row>
    <row r="4190" spans="2:4" x14ac:dyDescent="0.25">
      <c r="B4190" s="61">
        <v>4157</v>
      </c>
      <c r="C4190" s="61">
        <v>183649.73574853677</v>
      </c>
      <c r="D4190" s="102">
        <v>0.21562393324382922</v>
      </c>
    </row>
    <row r="4191" spans="2:4" x14ac:dyDescent="0.25">
      <c r="B4191" s="61">
        <v>4158</v>
      </c>
      <c r="C4191" s="61">
        <v>440124.35687507957</v>
      </c>
      <c r="D4191" s="102">
        <v>0.43732476773591511</v>
      </c>
    </row>
    <row r="4192" spans="2:4" x14ac:dyDescent="0.25">
      <c r="B4192" s="61">
        <v>4159</v>
      </c>
      <c r="C4192" s="61">
        <v>168956.0964007288</v>
      </c>
      <c r="D4192" s="102">
        <v>0.1836414206910717</v>
      </c>
    </row>
    <row r="4193" spans="2:4" x14ac:dyDescent="0.25">
      <c r="B4193" s="61">
        <v>4160</v>
      </c>
      <c r="C4193" s="61">
        <v>202324.0097636499</v>
      </c>
      <c r="D4193" s="102">
        <v>0.23348283033035178</v>
      </c>
    </row>
    <row r="4194" spans="2:4" x14ac:dyDescent="0.25">
      <c r="B4194" s="61">
        <v>4161</v>
      </c>
      <c r="C4194" s="61">
        <v>40348.037529314344</v>
      </c>
      <c r="D4194" s="102">
        <v>9.1823099767876615E-2</v>
      </c>
    </row>
    <row r="4195" spans="2:4" x14ac:dyDescent="0.25">
      <c r="B4195" s="61">
        <v>4162</v>
      </c>
      <c r="C4195" s="61">
        <v>225890.13891733624</v>
      </c>
      <c r="D4195" s="102">
        <v>0.29017326235363727</v>
      </c>
    </row>
    <row r="4196" spans="2:4" x14ac:dyDescent="0.25">
      <c r="B4196" s="61">
        <v>4163</v>
      </c>
      <c r="C4196" s="61">
        <v>-14217.333776149317</v>
      </c>
      <c r="D4196" s="102">
        <v>5.074337235877957E-2</v>
      </c>
    </row>
    <row r="4197" spans="2:4" x14ac:dyDescent="0.25">
      <c r="B4197" s="61">
        <v>4164</v>
      </c>
      <c r="C4197" s="61">
        <v>168670.81669710111</v>
      </c>
      <c r="D4197" s="102">
        <v>0.1978496963406382</v>
      </c>
    </row>
    <row r="4198" spans="2:4" x14ac:dyDescent="0.25">
      <c r="B4198" s="61">
        <v>4165</v>
      </c>
      <c r="C4198" s="61">
        <v>312197.07412941579</v>
      </c>
      <c r="D4198" s="102">
        <v>0.32129813214452807</v>
      </c>
    </row>
    <row r="4199" spans="2:4" x14ac:dyDescent="0.25">
      <c r="B4199" s="61">
        <v>4166</v>
      </c>
      <c r="C4199" s="61">
        <v>525172.7746584618</v>
      </c>
      <c r="D4199" s="102">
        <v>0.38965466097717893</v>
      </c>
    </row>
    <row r="4200" spans="2:4" x14ac:dyDescent="0.25">
      <c r="B4200" s="61">
        <v>4167</v>
      </c>
      <c r="C4200" s="61">
        <v>33813.695473751519</v>
      </c>
      <c r="D4200" s="102">
        <v>9.2112958675661494E-2</v>
      </c>
    </row>
    <row r="4201" spans="2:4" x14ac:dyDescent="0.25">
      <c r="B4201" s="61">
        <v>4168</v>
      </c>
      <c r="C4201" s="61">
        <v>187903.6536072226</v>
      </c>
      <c r="D4201" s="102">
        <v>0.20442163472501251</v>
      </c>
    </row>
    <row r="4202" spans="2:4" x14ac:dyDescent="0.25">
      <c r="B4202" s="61">
        <v>4169</v>
      </c>
      <c r="C4202" s="61">
        <v>311658.19189475791</v>
      </c>
      <c r="D4202" s="102">
        <v>0.25523014754971207</v>
      </c>
    </row>
    <row r="4203" spans="2:4" x14ac:dyDescent="0.25">
      <c r="B4203" s="61">
        <v>4170</v>
      </c>
      <c r="C4203" s="61">
        <v>253972.93146470853</v>
      </c>
      <c r="D4203" s="102">
        <v>0.25424594651072163</v>
      </c>
    </row>
    <row r="4204" spans="2:4" x14ac:dyDescent="0.25">
      <c r="B4204" s="61">
        <v>4171</v>
      </c>
      <c r="C4204" s="61">
        <v>425276.56721029116</v>
      </c>
      <c r="D4204" s="102">
        <v>0.42852499667803201</v>
      </c>
    </row>
    <row r="4205" spans="2:4" x14ac:dyDescent="0.25">
      <c r="B4205" s="61">
        <v>4172</v>
      </c>
      <c r="C4205" s="61">
        <v>100756.32462852332</v>
      </c>
      <c r="D4205" s="102">
        <v>0.14704147535651391</v>
      </c>
    </row>
    <row r="4206" spans="2:4" x14ac:dyDescent="0.25">
      <c r="B4206" s="61">
        <v>4173</v>
      </c>
      <c r="C4206" s="61">
        <v>283965.05309520953</v>
      </c>
      <c r="D4206" s="102">
        <v>0.30126188174332413</v>
      </c>
    </row>
    <row r="4207" spans="2:4" x14ac:dyDescent="0.25">
      <c r="B4207" s="61">
        <v>4174</v>
      </c>
      <c r="C4207" s="61">
        <v>361505.69946976961</v>
      </c>
      <c r="D4207" s="102">
        <v>0.34376145119441559</v>
      </c>
    </row>
    <row r="4208" spans="2:4" x14ac:dyDescent="0.25">
      <c r="B4208" s="61">
        <v>4175</v>
      </c>
      <c r="C4208" s="61">
        <v>334355.19202476158</v>
      </c>
      <c r="D4208" s="102">
        <v>0.32519763466015794</v>
      </c>
    </row>
    <row r="4209" spans="2:4" x14ac:dyDescent="0.25">
      <c r="B4209" s="61">
        <v>4176</v>
      </c>
      <c r="C4209" s="61">
        <v>256373.1682618222</v>
      </c>
      <c r="D4209" s="102">
        <v>0.24524150378144527</v>
      </c>
    </row>
    <row r="4210" spans="2:4" x14ac:dyDescent="0.25">
      <c r="B4210" s="61">
        <v>4177</v>
      </c>
      <c r="C4210" s="61">
        <v>349365.86849549913</v>
      </c>
      <c r="D4210" s="102">
        <v>0.36708331920876636</v>
      </c>
    </row>
    <row r="4211" spans="2:4" x14ac:dyDescent="0.25">
      <c r="B4211" s="61">
        <v>4178</v>
      </c>
      <c r="C4211" s="61">
        <v>286192.99658189388</v>
      </c>
      <c r="D4211" s="102">
        <v>0.3375517007823241</v>
      </c>
    </row>
    <row r="4212" spans="2:4" x14ac:dyDescent="0.25">
      <c r="B4212" s="61">
        <v>4179</v>
      </c>
      <c r="C4212" s="61">
        <v>197770.98936094029</v>
      </c>
      <c r="D4212" s="102">
        <v>0.19830415924185374</v>
      </c>
    </row>
    <row r="4213" spans="2:4" x14ac:dyDescent="0.25">
      <c r="B4213" s="61">
        <v>4180</v>
      </c>
      <c r="C4213" s="61">
        <v>177235.67958059278</v>
      </c>
      <c r="D4213" s="102">
        <v>0.19841819579513253</v>
      </c>
    </row>
    <row r="4214" spans="2:4" x14ac:dyDescent="0.25">
      <c r="B4214" s="61">
        <v>4181</v>
      </c>
      <c r="C4214" s="61">
        <v>277093.21426601405</v>
      </c>
      <c r="D4214" s="102">
        <v>0.28503407355025678</v>
      </c>
    </row>
    <row r="4215" spans="2:4" x14ac:dyDescent="0.25">
      <c r="B4215" s="61">
        <v>4182</v>
      </c>
      <c r="C4215" s="61">
        <v>452033.21025042306</v>
      </c>
      <c r="D4215" s="102">
        <v>0.36777856289966926</v>
      </c>
    </row>
    <row r="4216" spans="2:4" x14ac:dyDescent="0.25">
      <c r="B4216" s="61">
        <v>4183</v>
      </c>
      <c r="C4216" s="61">
        <v>218962.01188238163</v>
      </c>
      <c r="D4216" s="102">
        <v>0.25114392761684612</v>
      </c>
    </row>
    <row r="4217" spans="2:4" x14ac:dyDescent="0.25">
      <c r="B4217" s="61">
        <v>4184</v>
      </c>
      <c r="C4217" s="61">
        <v>509706.01127269084</v>
      </c>
      <c r="D4217" s="102">
        <v>0.47253158796674999</v>
      </c>
    </row>
    <row r="4218" spans="2:4" x14ac:dyDescent="0.25">
      <c r="B4218" s="61">
        <v>4185</v>
      </c>
      <c r="C4218" s="61">
        <v>345312.8207584921</v>
      </c>
      <c r="D4218" s="102">
        <v>0.42063324701270455</v>
      </c>
    </row>
    <row r="4219" spans="2:4" x14ac:dyDescent="0.25">
      <c r="B4219" s="61">
        <v>4186</v>
      </c>
      <c r="C4219" s="61">
        <v>81302.447658392717</v>
      </c>
      <c r="D4219" s="102">
        <v>0.12798774826776249</v>
      </c>
    </row>
    <row r="4220" spans="2:4" x14ac:dyDescent="0.25">
      <c r="B4220" s="61">
        <v>4187</v>
      </c>
      <c r="C4220" s="61">
        <v>336064.54008164734</v>
      </c>
      <c r="D4220" s="102">
        <v>0.31797246145018643</v>
      </c>
    </row>
    <row r="4221" spans="2:4" x14ac:dyDescent="0.25">
      <c r="B4221" s="61">
        <v>4188</v>
      </c>
      <c r="C4221" s="61">
        <v>475043.63166384946</v>
      </c>
      <c r="D4221" s="102">
        <v>0.39579697341740339</v>
      </c>
    </row>
    <row r="4222" spans="2:4" x14ac:dyDescent="0.25">
      <c r="B4222" s="61">
        <v>4189</v>
      </c>
      <c r="C4222" s="61">
        <v>187622.46050997847</v>
      </c>
      <c r="D4222" s="102">
        <v>0.20677186031087902</v>
      </c>
    </row>
    <row r="4223" spans="2:4" x14ac:dyDescent="0.25">
      <c r="B4223" s="61">
        <v>4190</v>
      </c>
      <c r="C4223" s="61">
        <v>247558.36406226864</v>
      </c>
      <c r="D4223" s="102">
        <v>0.33016533029634321</v>
      </c>
    </row>
    <row r="4224" spans="2:4" x14ac:dyDescent="0.25">
      <c r="B4224" s="61">
        <v>4191</v>
      </c>
      <c r="C4224" s="61">
        <v>407164.27329174336</v>
      </c>
      <c r="D4224" s="102">
        <v>0.38798593495742106</v>
      </c>
    </row>
    <row r="4225" spans="2:4" x14ac:dyDescent="0.25">
      <c r="B4225" s="61">
        <v>4192</v>
      </c>
      <c r="C4225" s="61">
        <v>339620.59977754054</v>
      </c>
      <c r="D4225" s="102">
        <v>0.34298386908752887</v>
      </c>
    </row>
    <row r="4226" spans="2:4" x14ac:dyDescent="0.25">
      <c r="B4226" s="61">
        <v>4193</v>
      </c>
      <c r="C4226" s="61">
        <v>255751.67823274166</v>
      </c>
      <c r="D4226" s="102">
        <v>0.27171765312600327</v>
      </c>
    </row>
    <row r="4227" spans="2:4" x14ac:dyDescent="0.25">
      <c r="B4227" s="61">
        <v>4194</v>
      </c>
      <c r="C4227" s="61">
        <v>326673.06698327919</v>
      </c>
      <c r="D4227" s="102">
        <v>0.30576740641194866</v>
      </c>
    </row>
    <row r="4228" spans="2:4" x14ac:dyDescent="0.25">
      <c r="B4228" s="61">
        <v>4195</v>
      </c>
      <c r="C4228" s="61">
        <v>269994.64297619974</v>
      </c>
      <c r="D4228" s="102">
        <v>0.26569659692828451</v>
      </c>
    </row>
    <row r="4229" spans="2:4" x14ac:dyDescent="0.25">
      <c r="B4229" s="61">
        <v>4196</v>
      </c>
      <c r="C4229" s="61">
        <v>416647.48538773949</v>
      </c>
      <c r="D4229" s="102">
        <v>0.31997817028235698</v>
      </c>
    </row>
    <row r="4230" spans="2:4" x14ac:dyDescent="0.25">
      <c r="B4230" s="61">
        <v>4197</v>
      </c>
      <c r="C4230" s="61">
        <v>182191.16452637024</v>
      </c>
      <c r="D4230" s="102">
        <v>0.21543712706790785</v>
      </c>
    </row>
    <row r="4231" spans="2:4" x14ac:dyDescent="0.25">
      <c r="B4231" s="61">
        <v>4198</v>
      </c>
      <c r="C4231" s="61">
        <v>461243.02993886091</v>
      </c>
      <c r="D4231" s="102">
        <v>0.37626182846364364</v>
      </c>
    </row>
    <row r="4232" spans="2:4" x14ac:dyDescent="0.25">
      <c r="B4232" s="61">
        <v>4199</v>
      </c>
      <c r="C4232" s="61">
        <v>271557.83758300531</v>
      </c>
      <c r="D4232" s="102">
        <v>0.27639155323276743</v>
      </c>
    </row>
    <row r="4233" spans="2:4" x14ac:dyDescent="0.25">
      <c r="B4233" s="61">
        <v>4200</v>
      </c>
      <c r="C4233" s="61">
        <v>355425.77212869562</v>
      </c>
      <c r="D4233" s="102">
        <v>0.28267592252112572</v>
      </c>
    </row>
    <row r="4234" spans="2:4" x14ac:dyDescent="0.25">
      <c r="B4234" s="61">
        <v>4201</v>
      </c>
      <c r="C4234" s="61">
        <v>130023.49093253305</v>
      </c>
      <c r="D4234" s="102">
        <v>0.19380580163481853</v>
      </c>
    </row>
    <row r="4235" spans="2:4" x14ac:dyDescent="0.25">
      <c r="B4235" s="61">
        <v>4202</v>
      </c>
      <c r="C4235" s="61">
        <v>147381.37923756836</v>
      </c>
      <c r="D4235" s="102">
        <v>0.17929132810184423</v>
      </c>
    </row>
    <row r="4236" spans="2:4" x14ac:dyDescent="0.25">
      <c r="B4236" s="61">
        <v>4203</v>
      </c>
      <c r="C4236" s="61">
        <v>242053.89818182797</v>
      </c>
      <c r="D4236" s="102">
        <v>0.30265572646692962</v>
      </c>
    </row>
    <row r="4237" spans="2:4" x14ac:dyDescent="0.25">
      <c r="B4237" s="61">
        <v>4204</v>
      </c>
      <c r="C4237" s="61">
        <v>113998.94770285155</v>
      </c>
      <c r="D4237" s="102">
        <v>0.1675494221727134</v>
      </c>
    </row>
    <row r="4238" spans="2:4" x14ac:dyDescent="0.25">
      <c r="B4238" s="61">
        <v>4205</v>
      </c>
      <c r="C4238" s="61">
        <v>349794.3488893708</v>
      </c>
      <c r="D4238" s="102">
        <v>0.35453342303955893</v>
      </c>
    </row>
    <row r="4239" spans="2:4" x14ac:dyDescent="0.25">
      <c r="B4239" s="61">
        <v>4206</v>
      </c>
      <c r="C4239" s="61">
        <v>340595.99705071002</v>
      </c>
      <c r="D4239" s="102">
        <v>0.31187469718709759</v>
      </c>
    </row>
    <row r="4240" spans="2:4" x14ac:dyDescent="0.25">
      <c r="B4240" s="61">
        <v>4207</v>
      </c>
      <c r="C4240" s="61">
        <v>286118.95954976627</v>
      </c>
      <c r="D4240" s="102">
        <v>0.30971378601076394</v>
      </c>
    </row>
    <row r="4241" spans="2:4" x14ac:dyDescent="0.25">
      <c r="B4241" s="61">
        <v>4208</v>
      </c>
      <c r="C4241" s="61">
        <v>358995.97259284521</v>
      </c>
      <c r="D4241" s="102">
        <v>0.32007928721774759</v>
      </c>
    </row>
    <row r="4242" spans="2:4" x14ac:dyDescent="0.25">
      <c r="B4242" s="61">
        <v>4209</v>
      </c>
      <c r="C4242" s="61">
        <v>2698.1011617473559</v>
      </c>
      <c r="D4242" s="102">
        <v>6.584609615562842E-2</v>
      </c>
    </row>
    <row r="4243" spans="2:4" x14ac:dyDescent="0.25">
      <c r="B4243" s="61">
        <v>4210</v>
      </c>
      <c r="C4243" s="61">
        <v>335047.31652208918</v>
      </c>
      <c r="D4243" s="102">
        <v>0.33399164267754111</v>
      </c>
    </row>
    <row r="4244" spans="2:4" x14ac:dyDescent="0.25">
      <c r="B4244" s="61">
        <v>4211</v>
      </c>
      <c r="C4244" s="61">
        <v>263879.99438130273</v>
      </c>
      <c r="D4244" s="102">
        <v>0.25038429368118686</v>
      </c>
    </row>
    <row r="4245" spans="2:4" x14ac:dyDescent="0.25">
      <c r="B4245" s="61">
        <v>4212</v>
      </c>
      <c r="C4245" s="61">
        <v>192795.69368013984</v>
      </c>
      <c r="D4245" s="102">
        <v>0.21598465914003628</v>
      </c>
    </row>
    <row r="4246" spans="2:4" x14ac:dyDescent="0.25">
      <c r="B4246" s="61">
        <v>4213</v>
      </c>
      <c r="C4246" s="61">
        <v>250373.54483913153</v>
      </c>
      <c r="D4246" s="102">
        <v>0.25448520726733936</v>
      </c>
    </row>
    <row r="4247" spans="2:4" x14ac:dyDescent="0.25">
      <c r="B4247" s="61">
        <v>4214</v>
      </c>
      <c r="C4247" s="61">
        <v>424642.80449525756</v>
      </c>
      <c r="D4247" s="102">
        <v>0.42337533526658211</v>
      </c>
    </row>
    <row r="4248" spans="2:4" x14ac:dyDescent="0.25">
      <c r="B4248" s="61">
        <v>4215</v>
      </c>
      <c r="C4248" s="61">
        <v>361337.04973115027</v>
      </c>
      <c r="D4248" s="102">
        <v>0.36514293673864939</v>
      </c>
    </row>
    <row r="4249" spans="2:4" x14ac:dyDescent="0.25">
      <c r="B4249" s="61">
        <v>4216</v>
      </c>
      <c r="C4249" s="61">
        <v>579583.62443646207</v>
      </c>
      <c r="D4249" s="102">
        <v>0.67472811788528819</v>
      </c>
    </row>
    <row r="4250" spans="2:4" x14ac:dyDescent="0.25">
      <c r="B4250" s="61">
        <v>4217</v>
      </c>
      <c r="C4250" s="61">
        <v>138940.00446941971</v>
      </c>
      <c r="D4250" s="102">
        <v>0.15925180828624907</v>
      </c>
    </row>
    <row r="4251" spans="2:4" x14ac:dyDescent="0.25">
      <c r="B4251" s="61">
        <v>4218</v>
      </c>
      <c r="C4251" s="61">
        <v>434638.17180479632</v>
      </c>
      <c r="D4251" s="102">
        <v>0.36504739157517996</v>
      </c>
    </row>
    <row r="4252" spans="2:4" x14ac:dyDescent="0.25">
      <c r="B4252" s="61">
        <v>4219</v>
      </c>
      <c r="C4252" s="61">
        <v>222231.88459285081</v>
      </c>
      <c r="D4252" s="102">
        <v>0.21604484588758588</v>
      </c>
    </row>
    <row r="4253" spans="2:4" x14ac:dyDescent="0.25">
      <c r="B4253" s="61">
        <v>4220</v>
      </c>
      <c r="C4253" s="61">
        <v>291646.38404059282</v>
      </c>
      <c r="D4253" s="102">
        <v>0.31538372914401092</v>
      </c>
    </row>
    <row r="4254" spans="2:4" x14ac:dyDescent="0.25">
      <c r="B4254" s="61">
        <v>4221</v>
      </c>
      <c r="C4254" s="61">
        <v>158234.98700124974</v>
      </c>
      <c r="D4254" s="102">
        <v>0.17814415097071667</v>
      </c>
    </row>
    <row r="4255" spans="2:4" x14ac:dyDescent="0.25">
      <c r="B4255" s="61">
        <v>4222</v>
      </c>
      <c r="C4255" s="61">
        <v>96422.158692963887</v>
      </c>
      <c r="D4255" s="102">
        <v>0.16190647993862362</v>
      </c>
    </row>
    <row r="4256" spans="2:4" x14ac:dyDescent="0.25">
      <c r="B4256" s="61">
        <v>4223</v>
      </c>
      <c r="C4256" s="61">
        <v>269668.23095615162</v>
      </c>
      <c r="D4256" s="102">
        <v>0.29934061960379532</v>
      </c>
    </row>
    <row r="4257" spans="2:4" x14ac:dyDescent="0.25">
      <c r="B4257" s="61">
        <v>4224</v>
      </c>
      <c r="C4257" s="61">
        <v>302600.55790312262</v>
      </c>
      <c r="D4257" s="102">
        <v>0.29808600888045689</v>
      </c>
    </row>
    <row r="4258" spans="2:4" x14ac:dyDescent="0.25">
      <c r="B4258" s="61">
        <v>4225</v>
      </c>
      <c r="C4258" s="61">
        <v>209755.46157572279</v>
      </c>
      <c r="D4258" s="102">
        <v>0.20881670968016808</v>
      </c>
    </row>
    <row r="4259" spans="2:4" x14ac:dyDescent="0.25">
      <c r="B4259" s="61">
        <v>4226</v>
      </c>
      <c r="C4259" s="61">
        <v>41963.716533697676</v>
      </c>
      <c r="D4259" s="102">
        <v>0.10145021525183484</v>
      </c>
    </row>
    <row r="4260" spans="2:4" x14ac:dyDescent="0.25">
      <c r="B4260" s="61">
        <v>4227</v>
      </c>
      <c r="C4260" s="61">
        <v>335844.29133830871</v>
      </c>
      <c r="D4260" s="102">
        <v>0.29708075889628893</v>
      </c>
    </row>
    <row r="4261" spans="2:4" x14ac:dyDescent="0.25">
      <c r="B4261" s="61">
        <v>4228</v>
      </c>
      <c r="C4261" s="61">
        <v>279671.59903851349</v>
      </c>
      <c r="D4261" s="102">
        <v>0.30170369226511662</v>
      </c>
    </row>
    <row r="4262" spans="2:4" x14ac:dyDescent="0.25">
      <c r="B4262" s="61">
        <v>4229</v>
      </c>
      <c r="C4262" s="61">
        <v>137633.2301849107</v>
      </c>
      <c r="D4262" s="102">
        <v>0.17389829888927721</v>
      </c>
    </row>
    <row r="4263" spans="2:4" x14ac:dyDescent="0.25">
      <c r="B4263" s="61">
        <v>4230</v>
      </c>
      <c r="C4263" s="61">
        <v>275524.32418282481</v>
      </c>
      <c r="D4263" s="102">
        <v>0.29653411240613292</v>
      </c>
    </row>
    <row r="4264" spans="2:4" x14ac:dyDescent="0.25">
      <c r="B4264" s="61">
        <v>4231</v>
      </c>
      <c r="C4264" s="61">
        <v>179721.35516620253</v>
      </c>
      <c r="D4264" s="102">
        <v>0.23344108500436622</v>
      </c>
    </row>
    <row r="4265" spans="2:4" x14ac:dyDescent="0.25">
      <c r="B4265" s="61">
        <v>4232</v>
      </c>
      <c r="C4265" s="61">
        <v>530320.82446289551</v>
      </c>
      <c r="D4265" s="102">
        <v>0.44781911064411872</v>
      </c>
    </row>
    <row r="4266" spans="2:4" x14ac:dyDescent="0.25">
      <c r="B4266" s="61">
        <v>4233</v>
      </c>
      <c r="C4266" s="61">
        <v>255661.95280916814</v>
      </c>
      <c r="D4266" s="102">
        <v>0.2467024253366259</v>
      </c>
    </row>
    <row r="4267" spans="2:4" x14ac:dyDescent="0.25">
      <c r="B4267" s="61">
        <v>4234</v>
      </c>
      <c r="C4267" s="61">
        <v>369004.40881024068</v>
      </c>
      <c r="D4267" s="102">
        <v>0.42395257119830676</v>
      </c>
    </row>
    <row r="4268" spans="2:4" x14ac:dyDescent="0.25">
      <c r="B4268" s="61">
        <v>4235</v>
      </c>
      <c r="C4268" s="61">
        <v>507447.41704165237</v>
      </c>
      <c r="D4268" s="102">
        <v>0.39187542935440156</v>
      </c>
    </row>
    <row r="4269" spans="2:4" x14ac:dyDescent="0.25">
      <c r="B4269" s="61">
        <v>4236</v>
      </c>
      <c r="C4269" s="61">
        <v>415610.26998175646</v>
      </c>
      <c r="D4269" s="102">
        <v>0.37218245970515196</v>
      </c>
    </row>
    <row r="4270" spans="2:4" x14ac:dyDescent="0.25">
      <c r="B4270" s="61">
        <v>4237</v>
      </c>
      <c r="C4270" s="61">
        <v>216835.97310832911</v>
      </c>
      <c r="D4270" s="102">
        <v>0.23471321050703975</v>
      </c>
    </row>
    <row r="4271" spans="2:4" x14ac:dyDescent="0.25">
      <c r="B4271" s="61">
        <v>4238</v>
      </c>
      <c r="C4271" s="61">
        <v>196529.36927691079</v>
      </c>
      <c r="D4271" s="102">
        <v>0.23875654580277561</v>
      </c>
    </row>
    <row r="4272" spans="2:4" x14ac:dyDescent="0.25">
      <c r="B4272" s="61">
        <v>4239</v>
      </c>
      <c r="C4272" s="61">
        <v>306079.88791275141</v>
      </c>
      <c r="D4272" s="102">
        <v>0.27883375442470371</v>
      </c>
    </row>
    <row r="4273" spans="2:4" x14ac:dyDescent="0.25">
      <c r="B4273" s="61">
        <v>4240</v>
      </c>
      <c r="C4273" s="61">
        <v>219230.21821622015</v>
      </c>
      <c r="D4273" s="102">
        <v>0.22911658452738015</v>
      </c>
    </row>
    <row r="4274" spans="2:4" x14ac:dyDescent="0.25">
      <c r="B4274" s="61">
        <v>4241</v>
      </c>
      <c r="C4274" s="61">
        <v>309843.32465537509</v>
      </c>
      <c r="D4274" s="102">
        <v>0.30397965957855688</v>
      </c>
    </row>
    <row r="4275" spans="2:4" x14ac:dyDescent="0.25">
      <c r="B4275" s="61">
        <v>4242</v>
      </c>
      <c r="C4275" s="61">
        <v>314031.32922433899</v>
      </c>
      <c r="D4275" s="102">
        <v>0.27352104967427526</v>
      </c>
    </row>
    <row r="4276" spans="2:4" x14ac:dyDescent="0.25">
      <c r="B4276" s="61">
        <v>4243</v>
      </c>
      <c r="C4276" s="61">
        <v>299789.69980513048</v>
      </c>
      <c r="D4276" s="102">
        <v>0.30938003954371607</v>
      </c>
    </row>
    <row r="4277" spans="2:4" x14ac:dyDescent="0.25">
      <c r="B4277" s="61">
        <v>4244</v>
      </c>
      <c r="C4277" s="61">
        <v>165162.09276154684</v>
      </c>
      <c r="D4277" s="102">
        <v>0.22965752185328592</v>
      </c>
    </row>
    <row r="4278" spans="2:4" x14ac:dyDescent="0.25">
      <c r="B4278" s="61">
        <v>4245</v>
      </c>
      <c r="C4278" s="61">
        <v>318501.84625598427</v>
      </c>
      <c r="D4278" s="102">
        <v>0.29985042079996194</v>
      </c>
    </row>
    <row r="4279" spans="2:4" x14ac:dyDescent="0.25">
      <c r="B4279" s="61">
        <v>4246</v>
      </c>
      <c r="C4279" s="61">
        <v>586814.93678366521</v>
      </c>
      <c r="D4279" s="102">
        <v>0.48235082591154743</v>
      </c>
    </row>
    <row r="4280" spans="2:4" x14ac:dyDescent="0.25">
      <c r="B4280" s="61">
        <v>4247</v>
      </c>
      <c r="C4280" s="61">
        <v>527585.85851415969</v>
      </c>
      <c r="D4280" s="102">
        <v>0.46937225413233041</v>
      </c>
    </row>
    <row r="4281" spans="2:4" x14ac:dyDescent="0.25">
      <c r="B4281" s="61">
        <v>4248</v>
      </c>
      <c r="C4281" s="61">
        <v>392511.08609243995</v>
      </c>
      <c r="D4281" s="102">
        <v>0.35928639622548508</v>
      </c>
    </row>
    <row r="4282" spans="2:4" x14ac:dyDescent="0.25">
      <c r="B4282" s="61">
        <v>4249</v>
      </c>
      <c r="C4282" s="61">
        <v>397953.47649250971</v>
      </c>
      <c r="D4282" s="102">
        <v>0.37003243710454314</v>
      </c>
    </row>
    <row r="4283" spans="2:4" x14ac:dyDescent="0.25">
      <c r="B4283" s="61">
        <v>4250</v>
      </c>
      <c r="C4283" s="61">
        <v>314751.35198158701</v>
      </c>
      <c r="D4283" s="102">
        <v>0.34299534910032592</v>
      </c>
    </row>
    <row r="4284" spans="2:4" x14ac:dyDescent="0.25">
      <c r="B4284" s="61">
        <v>4251</v>
      </c>
      <c r="C4284" s="61">
        <v>289239.92565668852</v>
      </c>
      <c r="D4284" s="102">
        <v>0.27325542398960412</v>
      </c>
    </row>
    <row r="4285" spans="2:4" x14ac:dyDescent="0.25">
      <c r="B4285" s="61">
        <v>4252</v>
      </c>
      <c r="C4285" s="61">
        <v>199266.49837446981</v>
      </c>
      <c r="D4285" s="102">
        <v>0.17994321235355426</v>
      </c>
    </row>
    <row r="4286" spans="2:4" x14ac:dyDescent="0.25">
      <c r="B4286" s="61">
        <v>4253</v>
      </c>
      <c r="C4286" s="61">
        <v>107017.28507551347</v>
      </c>
      <c r="D4286" s="102">
        <v>0.17124594491003231</v>
      </c>
    </row>
    <row r="4287" spans="2:4" x14ac:dyDescent="0.25">
      <c r="B4287" s="61">
        <v>4254</v>
      </c>
      <c r="C4287" s="61">
        <v>320164.072529778</v>
      </c>
      <c r="D4287" s="102">
        <v>0.3184165986003169</v>
      </c>
    </row>
    <row r="4288" spans="2:4" x14ac:dyDescent="0.25">
      <c r="B4288" s="61">
        <v>4255</v>
      </c>
      <c r="C4288" s="61">
        <v>-28957.419448317843</v>
      </c>
      <c r="D4288" s="102">
        <v>4.3855709666263731E-2</v>
      </c>
    </row>
    <row r="4289" spans="2:4" x14ac:dyDescent="0.25">
      <c r="B4289" s="61">
        <v>4256</v>
      </c>
      <c r="C4289" s="61">
        <v>250038.41942229611</v>
      </c>
      <c r="D4289" s="102">
        <v>0.28524167575107784</v>
      </c>
    </row>
    <row r="4290" spans="2:4" x14ac:dyDescent="0.25">
      <c r="B4290" s="61">
        <v>4257</v>
      </c>
      <c r="C4290" s="61">
        <v>534181.67633112415</v>
      </c>
      <c r="D4290" s="102">
        <v>0.5126127931231621</v>
      </c>
    </row>
    <row r="4291" spans="2:4" x14ac:dyDescent="0.25">
      <c r="B4291" s="61">
        <v>4258</v>
      </c>
      <c r="C4291" s="61">
        <v>333523.16344875423</v>
      </c>
      <c r="D4291" s="102">
        <v>0.27934493448234798</v>
      </c>
    </row>
    <row r="4292" spans="2:4" x14ac:dyDescent="0.25">
      <c r="B4292" s="61">
        <v>4259</v>
      </c>
      <c r="C4292" s="61">
        <v>48206.987363638531</v>
      </c>
      <c r="D4292" s="102">
        <v>0.11273083720550492</v>
      </c>
    </row>
    <row r="4293" spans="2:4" x14ac:dyDescent="0.25">
      <c r="B4293" s="61">
        <v>4260</v>
      </c>
      <c r="C4293" s="61">
        <v>618878.88263241923</v>
      </c>
      <c r="D4293" s="102">
        <v>0.47013779743139672</v>
      </c>
    </row>
    <row r="4294" spans="2:4" x14ac:dyDescent="0.25">
      <c r="B4294" s="61">
        <v>4261</v>
      </c>
      <c r="C4294" s="61">
        <v>190588.5728042837</v>
      </c>
      <c r="D4294" s="102">
        <v>0.19203947431057866</v>
      </c>
    </row>
    <row r="4295" spans="2:4" x14ac:dyDescent="0.25">
      <c r="B4295" s="61">
        <v>4262</v>
      </c>
      <c r="C4295" s="61">
        <v>144789.56716544332</v>
      </c>
      <c r="D4295" s="102">
        <v>0.20871471903239658</v>
      </c>
    </row>
    <row r="4296" spans="2:4" x14ac:dyDescent="0.25">
      <c r="B4296" s="61">
        <v>4263</v>
      </c>
      <c r="C4296" s="61">
        <v>189483.6086406199</v>
      </c>
      <c r="D4296" s="102">
        <v>0.22997853172400085</v>
      </c>
    </row>
    <row r="4297" spans="2:4" x14ac:dyDescent="0.25">
      <c r="B4297" s="61">
        <v>4264</v>
      </c>
      <c r="C4297" s="61">
        <v>55676.559845493175</v>
      </c>
      <c r="D4297" s="102">
        <v>0.10013417180483208</v>
      </c>
    </row>
    <row r="4298" spans="2:4" x14ac:dyDescent="0.25">
      <c r="B4298" s="61">
        <v>4265</v>
      </c>
      <c r="C4298" s="61">
        <v>475529.13548297598</v>
      </c>
      <c r="D4298" s="102">
        <v>0.37307993785466498</v>
      </c>
    </row>
    <row r="4299" spans="2:4" x14ac:dyDescent="0.25">
      <c r="B4299" s="61">
        <v>4266</v>
      </c>
      <c r="C4299" s="61">
        <v>86457.264523650054</v>
      </c>
      <c r="D4299" s="102">
        <v>0.12139003185215569</v>
      </c>
    </row>
    <row r="4300" spans="2:4" x14ac:dyDescent="0.25">
      <c r="B4300" s="61">
        <v>4267</v>
      </c>
      <c r="C4300" s="61">
        <v>102011.91984189663</v>
      </c>
      <c r="D4300" s="102">
        <v>0.16037444696928582</v>
      </c>
    </row>
    <row r="4301" spans="2:4" x14ac:dyDescent="0.25">
      <c r="B4301" s="61">
        <v>4268</v>
      </c>
      <c r="C4301" s="61">
        <v>108565.29429829441</v>
      </c>
      <c r="D4301" s="102">
        <v>0.16487158215776132</v>
      </c>
    </row>
    <row r="4302" spans="2:4" x14ac:dyDescent="0.25">
      <c r="B4302" s="61">
        <v>4269</v>
      </c>
      <c r="C4302" s="61">
        <v>78112.407448029902</v>
      </c>
      <c r="D4302" s="102">
        <v>0.14174920880713104</v>
      </c>
    </row>
    <row r="4303" spans="2:4" x14ac:dyDescent="0.25">
      <c r="B4303" s="61">
        <v>4270</v>
      </c>
      <c r="C4303" s="61">
        <v>160107.42086799478</v>
      </c>
      <c r="D4303" s="102">
        <v>0.17992029683610022</v>
      </c>
    </row>
    <row r="4304" spans="2:4" x14ac:dyDescent="0.25">
      <c r="B4304" s="61">
        <v>4271</v>
      </c>
      <c r="C4304" s="61">
        <v>444067.97205194493</v>
      </c>
      <c r="D4304" s="102">
        <v>0.37980830278661659</v>
      </c>
    </row>
    <row r="4305" spans="2:4" x14ac:dyDescent="0.25">
      <c r="B4305" s="61">
        <v>4272</v>
      </c>
      <c r="C4305" s="61">
        <v>302981.100863297</v>
      </c>
      <c r="D4305" s="102">
        <v>0.34171627499019963</v>
      </c>
    </row>
    <row r="4306" spans="2:4" x14ac:dyDescent="0.25">
      <c r="B4306" s="61">
        <v>4273</v>
      </c>
      <c r="C4306" s="61">
        <v>365821.25612391636</v>
      </c>
      <c r="D4306" s="102">
        <v>0.38485851228652579</v>
      </c>
    </row>
    <row r="4307" spans="2:4" x14ac:dyDescent="0.25">
      <c r="B4307" s="61">
        <v>4274</v>
      </c>
      <c r="C4307" s="61">
        <v>293645.13771876576</v>
      </c>
      <c r="D4307" s="102">
        <v>0.28467937210500738</v>
      </c>
    </row>
    <row r="4308" spans="2:4" x14ac:dyDescent="0.25">
      <c r="B4308" s="61">
        <v>4275</v>
      </c>
      <c r="C4308" s="61">
        <v>282624.69287674665</v>
      </c>
      <c r="D4308" s="102">
        <v>0.31146694580520684</v>
      </c>
    </row>
    <row r="4309" spans="2:4" x14ac:dyDescent="0.25">
      <c r="B4309" s="61">
        <v>4276</v>
      </c>
      <c r="C4309" s="61">
        <v>348451.76884434349</v>
      </c>
      <c r="D4309" s="102">
        <v>0.31424516270853875</v>
      </c>
    </row>
    <row r="4310" spans="2:4" x14ac:dyDescent="0.25">
      <c r="B4310" s="61">
        <v>4277</v>
      </c>
      <c r="C4310" s="61">
        <v>293501.58181236091</v>
      </c>
      <c r="D4310" s="102">
        <v>0.35015286561297376</v>
      </c>
    </row>
    <row r="4311" spans="2:4" x14ac:dyDescent="0.25">
      <c r="B4311" s="61">
        <v>4278</v>
      </c>
      <c r="C4311" s="61">
        <v>154297.65491676086</v>
      </c>
      <c r="D4311" s="102">
        <v>0.1736265367335057</v>
      </c>
    </row>
    <row r="4312" spans="2:4" x14ac:dyDescent="0.25">
      <c r="B4312" s="61">
        <v>4279</v>
      </c>
      <c r="C4312" s="61">
        <v>293423.46869427047</v>
      </c>
      <c r="D4312" s="102">
        <v>0.31070780536688325</v>
      </c>
    </row>
    <row r="4313" spans="2:4" x14ac:dyDescent="0.25">
      <c r="B4313" s="61">
        <v>4280</v>
      </c>
      <c r="C4313" s="61">
        <v>193082.35522768425</v>
      </c>
      <c r="D4313" s="102">
        <v>0.22403572866072174</v>
      </c>
    </row>
    <row r="4314" spans="2:4" x14ac:dyDescent="0.25">
      <c r="B4314" s="61">
        <v>4281</v>
      </c>
      <c r="C4314" s="61">
        <v>178015.96743726835</v>
      </c>
      <c r="D4314" s="102">
        <v>0.18942170316057716</v>
      </c>
    </row>
    <row r="4315" spans="2:4" x14ac:dyDescent="0.25">
      <c r="B4315" s="61">
        <v>4282</v>
      </c>
      <c r="C4315" s="61">
        <v>398258.24108968093</v>
      </c>
      <c r="D4315" s="102">
        <v>0.31705726554953961</v>
      </c>
    </row>
    <row r="4316" spans="2:4" x14ac:dyDescent="0.25">
      <c r="B4316" s="61">
        <v>4283</v>
      </c>
      <c r="C4316" s="61">
        <v>83328.954088257975</v>
      </c>
      <c r="D4316" s="102">
        <v>0.11819091468128251</v>
      </c>
    </row>
    <row r="4317" spans="2:4" x14ac:dyDescent="0.25">
      <c r="B4317" s="61">
        <v>4284</v>
      </c>
      <c r="C4317" s="61">
        <v>175027.14608332992</v>
      </c>
      <c r="D4317" s="102">
        <v>0.23649426613476243</v>
      </c>
    </row>
    <row r="4318" spans="2:4" x14ac:dyDescent="0.25">
      <c r="B4318" s="61">
        <v>4285</v>
      </c>
      <c r="C4318" s="61">
        <v>144656.52267260093</v>
      </c>
      <c r="D4318" s="102">
        <v>0.1822038740503451</v>
      </c>
    </row>
    <row r="4319" spans="2:4" x14ac:dyDescent="0.25">
      <c r="B4319" s="61">
        <v>4286</v>
      </c>
      <c r="C4319" s="61">
        <v>322878.93042433227</v>
      </c>
      <c r="D4319" s="102">
        <v>0.28197523257907098</v>
      </c>
    </row>
    <row r="4320" spans="2:4" x14ac:dyDescent="0.25">
      <c r="B4320" s="61">
        <v>4287</v>
      </c>
      <c r="C4320" s="61">
        <v>175116.62356768001</v>
      </c>
      <c r="D4320" s="102">
        <v>0.2088372874778659</v>
      </c>
    </row>
    <row r="4321" spans="2:4" x14ac:dyDescent="0.25">
      <c r="B4321" s="61">
        <v>4288</v>
      </c>
      <c r="C4321" s="61">
        <v>179486.55948786531</v>
      </c>
      <c r="D4321" s="102">
        <v>0.18823824424159752</v>
      </c>
    </row>
    <row r="4322" spans="2:4" x14ac:dyDescent="0.25">
      <c r="B4322" s="61">
        <v>4289</v>
      </c>
      <c r="C4322" s="61">
        <v>387197.21017203073</v>
      </c>
      <c r="D4322" s="102">
        <v>0.34763134659327299</v>
      </c>
    </row>
    <row r="4323" spans="2:4" x14ac:dyDescent="0.25">
      <c r="B4323" s="61">
        <v>4290</v>
      </c>
      <c r="C4323" s="61">
        <v>347970.44096466736</v>
      </c>
      <c r="D4323" s="102">
        <v>0.3425515540820423</v>
      </c>
    </row>
    <row r="4324" spans="2:4" x14ac:dyDescent="0.25">
      <c r="B4324" s="61">
        <v>4291</v>
      </c>
      <c r="C4324" s="61">
        <v>312798.91019894893</v>
      </c>
      <c r="D4324" s="102">
        <v>0.30819867882262697</v>
      </c>
    </row>
    <row r="4325" spans="2:4" x14ac:dyDescent="0.25">
      <c r="B4325" s="61">
        <v>4292</v>
      </c>
      <c r="C4325" s="61">
        <v>143051.07928926591</v>
      </c>
      <c r="D4325" s="102">
        <v>0.16607076362167117</v>
      </c>
    </row>
    <row r="4326" spans="2:4" x14ac:dyDescent="0.25">
      <c r="B4326" s="61">
        <v>4293</v>
      </c>
      <c r="C4326" s="61">
        <v>254373.83903586119</v>
      </c>
      <c r="D4326" s="102">
        <v>0.28279772669322245</v>
      </c>
    </row>
    <row r="4327" spans="2:4" x14ac:dyDescent="0.25">
      <c r="B4327" s="61">
        <v>4294</v>
      </c>
      <c r="C4327" s="61">
        <v>303022.83639946196</v>
      </c>
      <c r="D4327" s="102">
        <v>0.31896686620090575</v>
      </c>
    </row>
    <row r="4328" spans="2:4" x14ac:dyDescent="0.25">
      <c r="B4328" s="61">
        <v>4295</v>
      </c>
      <c r="C4328" s="61">
        <v>431426.23655758996</v>
      </c>
      <c r="D4328" s="102">
        <v>0.32128882126256597</v>
      </c>
    </row>
    <row r="4329" spans="2:4" x14ac:dyDescent="0.25">
      <c r="B4329" s="61">
        <v>4296</v>
      </c>
      <c r="C4329" s="61">
        <v>408139.61825981911</v>
      </c>
      <c r="D4329" s="102">
        <v>0.41058454276370071</v>
      </c>
    </row>
    <row r="4330" spans="2:4" x14ac:dyDescent="0.25">
      <c r="B4330" s="61">
        <v>4297</v>
      </c>
      <c r="C4330" s="61">
        <v>234701.34227416944</v>
      </c>
      <c r="D4330" s="102">
        <v>0.24501714546426112</v>
      </c>
    </row>
    <row r="4331" spans="2:4" x14ac:dyDescent="0.25">
      <c r="B4331" s="61">
        <v>4298</v>
      </c>
      <c r="C4331" s="61">
        <v>253459.07807506341</v>
      </c>
      <c r="D4331" s="102">
        <v>0.27726320496504786</v>
      </c>
    </row>
    <row r="4332" spans="2:4" x14ac:dyDescent="0.25">
      <c r="B4332" s="61">
        <v>4299</v>
      </c>
      <c r="C4332" s="61">
        <v>246090.00021786417</v>
      </c>
      <c r="D4332" s="102">
        <v>0.2499658606646018</v>
      </c>
    </row>
    <row r="4333" spans="2:4" x14ac:dyDescent="0.25">
      <c r="B4333" s="61">
        <v>4300</v>
      </c>
      <c r="C4333" s="61">
        <v>477192.29869405285</v>
      </c>
      <c r="D4333" s="102">
        <v>0.51838725145034914</v>
      </c>
    </row>
    <row r="4334" spans="2:4" x14ac:dyDescent="0.25">
      <c r="B4334" s="61">
        <v>4301</v>
      </c>
      <c r="C4334" s="61">
        <v>422792.57907450642</v>
      </c>
      <c r="D4334" s="102">
        <v>0.39176937149916458</v>
      </c>
    </row>
    <row r="4335" spans="2:4" x14ac:dyDescent="0.25">
      <c r="B4335" s="61">
        <v>4302</v>
      </c>
      <c r="C4335" s="61">
        <v>295170.93525306263</v>
      </c>
      <c r="D4335" s="102">
        <v>0.28723937364347174</v>
      </c>
    </row>
    <row r="4336" spans="2:4" x14ac:dyDescent="0.25">
      <c r="B4336" s="61">
        <v>4303</v>
      </c>
      <c r="C4336" s="61">
        <v>274054.18867216597</v>
      </c>
      <c r="D4336" s="102">
        <v>0.30432788310573988</v>
      </c>
    </row>
    <row r="4337" spans="2:4" x14ac:dyDescent="0.25">
      <c r="B4337" s="61">
        <v>4304</v>
      </c>
      <c r="C4337" s="61">
        <v>428361.33688796393</v>
      </c>
      <c r="D4337" s="102">
        <v>0.42546631700346071</v>
      </c>
    </row>
    <row r="4338" spans="2:4" x14ac:dyDescent="0.25">
      <c r="B4338" s="61">
        <v>4305</v>
      </c>
      <c r="C4338" s="61">
        <v>413579.87164886319</v>
      </c>
      <c r="D4338" s="102">
        <v>0.35303012176319859</v>
      </c>
    </row>
    <row r="4339" spans="2:4" x14ac:dyDescent="0.25">
      <c r="B4339" s="61">
        <v>4306</v>
      </c>
      <c r="C4339" s="61">
        <v>241917.55398919724</v>
      </c>
      <c r="D4339" s="102">
        <v>0.24087006123134524</v>
      </c>
    </row>
    <row r="4340" spans="2:4" x14ac:dyDescent="0.25">
      <c r="B4340" s="61">
        <v>4307</v>
      </c>
      <c r="C4340" s="61">
        <v>293394.31298345118</v>
      </c>
      <c r="D4340" s="102">
        <v>0.28079696201650584</v>
      </c>
    </row>
    <row r="4341" spans="2:4" x14ac:dyDescent="0.25">
      <c r="B4341" s="61">
        <v>4308</v>
      </c>
      <c r="C4341" s="61">
        <v>499923.66938844265</v>
      </c>
      <c r="D4341" s="102">
        <v>0.45222253453343297</v>
      </c>
    </row>
    <row r="4342" spans="2:4" x14ac:dyDescent="0.25">
      <c r="B4342" s="61">
        <v>4309</v>
      </c>
      <c r="C4342" s="61">
        <v>313232.87796823657</v>
      </c>
      <c r="D4342" s="102">
        <v>0.29013957875589402</v>
      </c>
    </row>
    <row r="4343" spans="2:4" x14ac:dyDescent="0.25">
      <c r="B4343" s="61">
        <v>4310</v>
      </c>
      <c r="C4343" s="61">
        <v>236349.51111957571</v>
      </c>
      <c r="D4343" s="102">
        <v>0.2709435384331067</v>
      </c>
    </row>
    <row r="4344" spans="2:4" x14ac:dyDescent="0.25">
      <c r="B4344" s="61">
        <v>4311</v>
      </c>
      <c r="C4344" s="61">
        <v>352215.25810591923</v>
      </c>
      <c r="D4344" s="102">
        <v>0.29169041799417039</v>
      </c>
    </row>
    <row r="4345" spans="2:4" x14ac:dyDescent="0.25">
      <c r="B4345" s="61">
        <v>4312</v>
      </c>
      <c r="C4345" s="61">
        <v>432872.63416214194</v>
      </c>
      <c r="D4345" s="102">
        <v>0.40139189266977193</v>
      </c>
    </row>
    <row r="4346" spans="2:4" x14ac:dyDescent="0.25">
      <c r="B4346" s="61">
        <v>4313</v>
      </c>
      <c r="C4346" s="61">
        <v>360286.79499699164</v>
      </c>
      <c r="D4346" s="102">
        <v>0.32927307913048254</v>
      </c>
    </row>
    <row r="4347" spans="2:4" x14ac:dyDescent="0.25">
      <c r="B4347" s="61">
        <v>4314</v>
      </c>
      <c r="C4347" s="61">
        <v>494326.64296618348</v>
      </c>
      <c r="D4347" s="102">
        <v>0.4394800609090872</v>
      </c>
    </row>
    <row r="4348" spans="2:4" x14ac:dyDescent="0.25">
      <c r="B4348" s="61">
        <v>4315</v>
      </c>
      <c r="C4348" s="61">
        <v>182218.92490502377</v>
      </c>
      <c r="D4348" s="102">
        <v>0.18858649042042153</v>
      </c>
    </row>
    <row r="4349" spans="2:4" x14ac:dyDescent="0.25">
      <c r="B4349" s="61">
        <v>4316</v>
      </c>
      <c r="C4349" s="61">
        <v>479081.9141027669</v>
      </c>
      <c r="D4349" s="102">
        <v>0.43222354295457288</v>
      </c>
    </row>
    <row r="4350" spans="2:4" x14ac:dyDescent="0.25">
      <c r="B4350" s="61">
        <v>4317</v>
      </c>
      <c r="C4350" s="61">
        <v>81390.914563111437</v>
      </c>
      <c r="D4350" s="102">
        <v>0.1223441492392825</v>
      </c>
    </row>
    <row r="4351" spans="2:4" x14ac:dyDescent="0.25">
      <c r="B4351" s="61">
        <v>4318</v>
      </c>
      <c r="C4351" s="61">
        <v>361762.60687416408</v>
      </c>
      <c r="D4351" s="102">
        <v>0.31123046663095733</v>
      </c>
    </row>
    <row r="4352" spans="2:4" x14ac:dyDescent="0.25">
      <c r="B4352" s="61">
        <v>4319</v>
      </c>
      <c r="C4352" s="61">
        <v>193909.25238856161</v>
      </c>
      <c r="D4352" s="102">
        <v>0.2147604980932345</v>
      </c>
    </row>
    <row r="4353" spans="2:4" x14ac:dyDescent="0.25">
      <c r="B4353" s="61">
        <v>4320</v>
      </c>
      <c r="C4353" s="61">
        <v>144761.4696084513</v>
      </c>
      <c r="D4353" s="102">
        <v>0.17706445408388993</v>
      </c>
    </row>
    <row r="4354" spans="2:4" x14ac:dyDescent="0.25">
      <c r="B4354" s="61">
        <v>4321</v>
      </c>
      <c r="C4354" s="61">
        <v>182266.80232169223</v>
      </c>
      <c r="D4354" s="102">
        <v>0.19688205535079306</v>
      </c>
    </row>
    <row r="4355" spans="2:4" x14ac:dyDescent="0.25">
      <c r="B4355" s="61">
        <v>4322</v>
      </c>
      <c r="C4355" s="61">
        <v>227499.9839860074</v>
      </c>
      <c r="D4355" s="102">
        <v>0.2342762757380521</v>
      </c>
    </row>
    <row r="4356" spans="2:4" x14ac:dyDescent="0.25">
      <c r="B4356" s="61">
        <v>4323</v>
      </c>
      <c r="C4356" s="61">
        <v>-71881.534225530399</v>
      </c>
      <c r="D4356" s="102">
        <v>1.0993237972030334E-2</v>
      </c>
    </row>
    <row r="4357" spans="2:4" x14ac:dyDescent="0.25">
      <c r="B4357" s="61">
        <v>4324</v>
      </c>
      <c r="C4357" s="61">
        <v>191832.60896578699</v>
      </c>
      <c r="D4357" s="102">
        <v>0.21235797572330051</v>
      </c>
    </row>
    <row r="4358" spans="2:4" x14ac:dyDescent="0.25">
      <c r="B4358" s="61">
        <v>4325</v>
      </c>
      <c r="C4358" s="61">
        <v>257341.39113643917</v>
      </c>
      <c r="D4358" s="102">
        <v>0.3055111234031791</v>
      </c>
    </row>
    <row r="4359" spans="2:4" x14ac:dyDescent="0.25">
      <c r="B4359" s="61">
        <v>4326</v>
      </c>
      <c r="C4359" s="61">
        <v>334196.90805316181</v>
      </c>
      <c r="D4359" s="102">
        <v>0.28078915729357456</v>
      </c>
    </row>
    <row r="4360" spans="2:4" x14ac:dyDescent="0.25">
      <c r="B4360" s="61">
        <v>4327</v>
      </c>
      <c r="C4360" s="61">
        <v>179326.01681808021</v>
      </c>
      <c r="D4360" s="102">
        <v>0.19683072242726807</v>
      </c>
    </row>
    <row r="4361" spans="2:4" x14ac:dyDescent="0.25">
      <c r="B4361" s="61">
        <v>4328</v>
      </c>
      <c r="C4361" s="61">
        <v>96469.409352002083</v>
      </c>
      <c r="D4361" s="102">
        <v>0.16639928102043711</v>
      </c>
    </row>
    <row r="4362" spans="2:4" x14ac:dyDescent="0.25">
      <c r="B4362" s="61">
        <v>4329</v>
      </c>
      <c r="C4362" s="61">
        <v>373449.6617764245</v>
      </c>
      <c r="D4362" s="102">
        <v>0.38159021634191981</v>
      </c>
    </row>
    <row r="4363" spans="2:4" x14ac:dyDescent="0.25">
      <c r="B4363" s="61">
        <v>4330</v>
      </c>
      <c r="C4363" s="61">
        <v>216644.02875321649</v>
      </c>
      <c r="D4363" s="102">
        <v>0.22648665304725668</v>
      </c>
    </row>
    <row r="4364" spans="2:4" x14ac:dyDescent="0.25">
      <c r="B4364" s="61">
        <v>4331</v>
      </c>
      <c r="C4364" s="61">
        <v>28860.26701835182</v>
      </c>
      <c r="D4364" s="102">
        <v>9.1087536735412034E-2</v>
      </c>
    </row>
    <row r="4365" spans="2:4" x14ac:dyDescent="0.25">
      <c r="B4365" s="61">
        <v>4332</v>
      </c>
      <c r="C4365" s="61">
        <v>185395.86366236187</v>
      </c>
      <c r="D4365" s="102">
        <v>0.21670749990605365</v>
      </c>
    </row>
    <row r="4366" spans="2:4" x14ac:dyDescent="0.25">
      <c r="B4366" s="61">
        <v>4333</v>
      </c>
      <c r="C4366" s="61">
        <v>203242.84450065799</v>
      </c>
      <c r="D4366" s="102">
        <v>0.19740287572504367</v>
      </c>
    </row>
    <row r="4367" spans="2:4" x14ac:dyDescent="0.25">
      <c r="B4367" s="61">
        <v>4334</v>
      </c>
      <c r="C4367" s="61">
        <v>338077.74546639354</v>
      </c>
      <c r="D4367" s="102">
        <v>0.30214066792364958</v>
      </c>
    </row>
    <row r="4368" spans="2:4" x14ac:dyDescent="0.25">
      <c r="B4368" s="61">
        <v>4335</v>
      </c>
      <c r="C4368" s="61">
        <v>131842.84020818485</v>
      </c>
      <c r="D4368" s="102">
        <v>0.1538990429350291</v>
      </c>
    </row>
    <row r="4369" spans="2:4" x14ac:dyDescent="0.25">
      <c r="B4369" s="61">
        <v>4336</v>
      </c>
      <c r="C4369" s="61">
        <v>444790.26677454612</v>
      </c>
      <c r="D4369" s="102">
        <v>0.37759176732698752</v>
      </c>
    </row>
    <row r="4370" spans="2:4" x14ac:dyDescent="0.25">
      <c r="B4370" s="61">
        <v>4337</v>
      </c>
      <c r="C4370" s="61">
        <v>80968.883225482015</v>
      </c>
      <c r="D4370" s="102">
        <v>0.12596055806768369</v>
      </c>
    </row>
    <row r="4371" spans="2:4" x14ac:dyDescent="0.25">
      <c r="B4371" s="61">
        <v>4338</v>
      </c>
      <c r="C4371" s="61">
        <v>246402.56243631593</v>
      </c>
      <c r="D4371" s="102">
        <v>0.25373582635033154</v>
      </c>
    </row>
    <row r="4372" spans="2:4" x14ac:dyDescent="0.25">
      <c r="B4372" s="61">
        <v>4339</v>
      </c>
      <c r="C4372" s="61">
        <v>194208.44032166118</v>
      </c>
      <c r="D4372" s="102">
        <v>0.23233166845822972</v>
      </c>
    </row>
    <row r="4373" spans="2:4" x14ac:dyDescent="0.25">
      <c r="B4373" s="61">
        <v>4340</v>
      </c>
      <c r="C4373" s="61">
        <v>267882.90466640727</v>
      </c>
      <c r="D4373" s="102">
        <v>0.25112330228948099</v>
      </c>
    </row>
    <row r="4374" spans="2:4" x14ac:dyDescent="0.25">
      <c r="B4374" s="61">
        <v>4341</v>
      </c>
      <c r="C4374" s="61">
        <v>375604.85804647754</v>
      </c>
      <c r="D4374" s="102">
        <v>0.33291309530047553</v>
      </c>
    </row>
    <row r="4375" spans="2:4" x14ac:dyDescent="0.25">
      <c r="B4375" s="61">
        <v>4342</v>
      </c>
      <c r="C4375" s="61">
        <v>441325.35874995589</v>
      </c>
      <c r="D4375" s="102">
        <v>0.3624088910785821</v>
      </c>
    </row>
    <row r="4376" spans="2:4" x14ac:dyDescent="0.25">
      <c r="B4376" s="61">
        <v>4343</v>
      </c>
      <c r="C4376" s="61">
        <v>295340.88754112471</v>
      </c>
      <c r="D4376" s="102">
        <v>0.29712277618183802</v>
      </c>
    </row>
    <row r="4377" spans="2:4" x14ac:dyDescent="0.25">
      <c r="B4377" s="61">
        <v>4344</v>
      </c>
      <c r="C4377" s="61">
        <v>230288.6746537037</v>
      </c>
      <c r="D4377" s="102">
        <v>0.2254944918286732</v>
      </c>
    </row>
    <row r="4378" spans="2:4" x14ac:dyDescent="0.25">
      <c r="B4378" s="61">
        <v>4345</v>
      </c>
      <c r="C4378" s="61">
        <v>373258.23563010513</v>
      </c>
      <c r="D4378" s="102">
        <v>0.40353888235310587</v>
      </c>
    </row>
    <row r="4379" spans="2:4" x14ac:dyDescent="0.25">
      <c r="B4379" s="61">
        <v>4346</v>
      </c>
      <c r="C4379" s="61">
        <v>190689.59876179474</v>
      </c>
      <c r="D4379" s="102">
        <v>0.21776440621671789</v>
      </c>
    </row>
    <row r="4380" spans="2:4" x14ac:dyDescent="0.25">
      <c r="B4380" s="61">
        <v>4347</v>
      </c>
      <c r="C4380" s="61">
        <v>66995.597809969157</v>
      </c>
      <c r="D4380" s="102">
        <v>0.12106373499254186</v>
      </c>
    </row>
    <row r="4381" spans="2:4" x14ac:dyDescent="0.25">
      <c r="B4381" s="61">
        <v>4348</v>
      </c>
      <c r="C4381" s="61">
        <v>345016.02322179207</v>
      </c>
      <c r="D4381" s="102">
        <v>0.3390480576856576</v>
      </c>
    </row>
    <row r="4382" spans="2:4" x14ac:dyDescent="0.25">
      <c r="B4382" s="61">
        <v>4349</v>
      </c>
      <c r="C4382" s="61">
        <v>65883.537329822779</v>
      </c>
      <c r="D4382" s="102">
        <v>0.12200133649652645</v>
      </c>
    </row>
    <row r="4383" spans="2:4" x14ac:dyDescent="0.25">
      <c r="B4383" s="61">
        <v>4350</v>
      </c>
      <c r="C4383" s="61">
        <v>142743.97760199249</v>
      </c>
      <c r="D4383" s="102">
        <v>0.18705049446678879</v>
      </c>
    </row>
    <row r="4384" spans="2:4" x14ac:dyDescent="0.25">
      <c r="B4384" s="61">
        <v>4351</v>
      </c>
      <c r="C4384" s="61">
        <v>445195.70923477982</v>
      </c>
      <c r="D4384" s="102">
        <v>0.38922017526294628</v>
      </c>
    </row>
    <row r="4385" spans="2:4" x14ac:dyDescent="0.25">
      <c r="B4385" s="61">
        <v>4352</v>
      </c>
      <c r="C4385" s="61">
        <v>-26870.012337830034</v>
      </c>
      <c r="D4385" s="102">
        <v>3.9212964868260647E-2</v>
      </c>
    </row>
    <row r="4386" spans="2:4" x14ac:dyDescent="0.25">
      <c r="B4386" s="61">
        <v>4353</v>
      </c>
      <c r="C4386" s="61">
        <v>77989.651966547768</v>
      </c>
      <c r="D4386" s="102">
        <v>0.12121185553530944</v>
      </c>
    </row>
    <row r="4387" spans="2:4" x14ac:dyDescent="0.25">
      <c r="B4387" s="61">
        <v>4354</v>
      </c>
      <c r="C4387" s="61">
        <v>178817.65792643349</v>
      </c>
      <c r="D4387" s="102">
        <v>0.18195726719502958</v>
      </c>
    </row>
    <row r="4388" spans="2:4" x14ac:dyDescent="0.25">
      <c r="B4388" s="61">
        <v>4355</v>
      </c>
      <c r="C4388" s="61">
        <v>278530.75062611117</v>
      </c>
      <c r="D4388" s="102">
        <v>0.28238637653690102</v>
      </c>
    </row>
    <row r="4389" spans="2:4" x14ac:dyDescent="0.25">
      <c r="B4389" s="61">
        <v>4356</v>
      </c>
      <c r="C4389" s="61">
        <v>445401.38835060713</v>
      </c>
      <c r="D4389" s="102">
        <v>0.46604359153101194</v>
      </c>
    </row>
    <row r="4390" spans="2:4" x14ac:dyDescent="0.25">
      <c r="B4390" s="61">
        <v>4357</v>
      </c>
      <c r="C4390" s="61">
        <v>314657.8513208169</v>
      </c>
      <c r="D4390" s="102">
        <v>0.29197727970510967</v>
      </c>
    </row>
    <row r="4391" spans="2:4" x14ac:dyDescent="0.25">
      <c r="B4391" s="61">
        <v>4358</v>
      </c>
      <c r="C4391" s="61">
        <v>128911.52530154289</v>
      </c>
      <c r="D4391" s="102">
        <v>0.15500982069053615</v>
      </c>
    </row>
    <row r="4392" spans="2:4" x14ac:dyDescent="0.25">
      <c r="B4392" s="61">
        <v>4359</v>
      </c>
      <c r="C4392" s="61">
        <v>372193.58383811475</v>
      </c>
      <c r="D4392" s="102">
        <v>0.45434900143531975</v>
      </c>
    </row>
    <row r="4393" spans="2:4" x14ac:dyDescent="0.25">
      <c r="B4393" s="61">
        <v>4360</v>
      </c>
      <c r="C4393" s="61">
        <v>226601.50433964515</v>
      </c>
      <c r="D4393" s="102">
        <v>0.20683995165307767</v>
      </c>
    </row>
    <row r="4394" spans="2:4" x14ac:dyDescent="0.25">
      <c r="B4394" s="61">
        <v>4361</v>
      </c>
      <c r="C4394" s="61">
        <v>128027.79728339193</v>
      </c>
      <c r="D4394" s="102">
        <v>0.15402409855983956</v>
      </c>
    </row>
    <row r="4395" spans="2:4" x14ac:dyDescent="0.25">
      <c r="B4395" s="61">
        <v>4362</v>
      </c>
      <c r="C4395" s="61">
        <v>408200.99254016543</v>
      </c>
      <c r="D4395" s="102">
        <v>0.38904599389574845</v>
      </c>
    </row>
    <row r="4396" spans="2:4" x14ac:dyDescent="0.25">
      <c r="B4396" s="61">
        <v>4363</v>
      </c>
      <c r="C4396" s="61">
        <v>153172.44579756877</v>
      </c>
      <c r="D4396" s="102">
        <v>0.18119424459225097</v>
      </c>
    </row>
    <row r="4397" spans="2:4" x14ac:dyDescent="0.25">
      <c r="B4397" s="61">
        <v>4364</v>
      </c>
      <c r="C4397" s="61">
        <v>3704.0491005219519</v>
      </c>
      <c r="D4397" s="102">
        <v>6.6117449796295524E-2</v>
      </c>
    </row>
    <row r="4398" spans="2:4" x14ac:dyDescent="0.25">
      <c r="B4398" s="61">
        <v>4365</v>
      </c>
      <c r="C4398" s="61">
        <v>143183.33416985668</v>
      </c>
      <c r="D4398" s="102">
        <v>0.17503257437769615</v>
      </c>
    </row>
    <row r="4399" spans="2:4" x14ac:dyDescent="0.25">
      <c r="B4399" s="61">
        <v>4366</v>
      </c>
      <c r="C4399" s="61">
        <v>191383.68240055686</v>
      </c>
      <c r="D4399" s="102">
        <v>0.30334522763925165</v>
      </c>
    </row>
    <row r="4400" spans="2:4" x14ac:dyDescent="0.25">
      <c r="B4400" s="61">
        <v>4367</v>
      </c>
      <c r="C4400" s="61">
        <v>166743.89114966965</v>
      </c>
      <c r="D4400" s="102">
        <v>0.16440338388200604</v>
      </c>
    </row>
    <row r="4401" spans="2:4" x14ac:dyDescent="0.25">
      <c r="B4401" s="61">
        <v>4368</v>
      </c>
      <c r="C4401" s="61">
        <v>-24010.426887507027</v>
      </c>
      <c r="D4401" s="102">
        <v>4.0662617353160124E-2</v>
      </c>
    </row>
    <row r="4402" spans="2:4" x14ac:dyDescent="0.25">
      <c r="B4402" s="61">
        <v>4369</v>
      </c>
      <c r="C4402" s="61">
        <v>372487.02150642045</v>
      </c>
      <c r="D4402" s="102">
        <v>0.28060374105162822</v>
      </c>
    </row>
    <row r="4403" spans="2:4" x14ac:dyDescent="0.25">
      <c r="B4403" s="61">
        <v>4370</v>
      </c>
      <c r="C4403" s="61">
        <v>433280.82808194286</v>
      </c>
      <c r="D4403" s="102">
        <v>0.42532225929890632</v>
      </c>
    </row>
    <row r="4404" spans="2:4" x14ac:dyDescent="0.25">
      <c r="B4404" s="61">
        <v>4371</v>
      </c>
      <c r="C4404" s="61">
        <v>330020.37325246318</v>
      </c>
      <c r="D4404" s="102">
        <v>0.27891206141932812</v>
      </c>
    </row>
    <row r="4405" spans="2:4" x14ac:dyDescent="0.25">
      <c r="B4405" s="61">
        <v>4372</v>
      </c>
      <c r="C4405" s="61">
        <v>194046.63283127092</v>
      </c>
      <c r="D4405" s="102">
        <v>0.20483042345844837</v>
      </c>
    </row>
    <row r="4406" spans="2:4" x14ac:dyDescent="0.25">
      <c r="B4406" s="61">
        <v>4373</v>
      </c>
      <c r="C4406" s="61">
        <v>360766.78811435809</v>
      </c>
      <c r="D4406" s="102">
        <v>0.34578380232523265</v>
      </c>
    </row>
    <row r="4407" spans="2:4" x14ac:dyDescent="0.25">
      <c r="B4407" s="61">
        <v>4374</v>
      </c>
      <c r="C4407" s="61">
        <v>280094.2317816196</v>
      </c>
      <c r="D4407" s="102">
        <v>0.30023647743860193</v>
      </c>
    </row>
    <row r="4408" spans="2:4" x14ac:dyDescent="0.25">
      <c r="B4408" s="61">
        <v>4375</v>
      </c>
      <c r="C4408" s="61">
        <v>174482.8006629094</v>
      </c>
      <c r="D4408" s="102">
        <v>0.21177015385420983</v>
      </c>
    </row>
    <row r="4409" spans="2:4" x14ac:dyDescent="0.25">
      <c r="B4409" s="61">
        <v>4376</v>
      </c>
      <c r="C4409" s="61">
        <v>244137.21958326502</v>
      </c>
      <c r="D4409" s="102">
        <v>0.29691448335441661</v>
      </c>
    </row>
    <row r="4410" spans="2:4" x14ac:dyDescent="0.25">
      <c r="B4410" s="61">
        <v>4377</v>
      </c>
      <c r="C4410" s="61">
        <v>278458.80228653853</v>
      </c>
      <c r="D4410" s="102">
        <v>0.26150531009405187</v>
      </c>
    </row>
    <row r="4411" spans="2:4" x14ac:dyDescent="0.25">
      <c r="B4411" s="61">
        <v>4378</v>
      </c>
      <c r="C4411" s="61">
        <v>192034.66733234632</v>
      </c>
      <c r="D4411" s="102">
        <v>0.23383014026930704</v>
      </c>
    </row>
    <row r="4412" spans="2:4" x14ac:dyDescent="0.25">
      <c r="B4412" s="61">
        <v>4379</v>
      </c>
      <c r="C4412" s="61">
        <v>211844.42197003611</v>
      </c>
      <c r="D4412" s="102">
        <v>0.20144640357030652</v>
      </c>
    </row>
    <row r="4413" spans="2:4" x14ac:dyDescent="0.25">
      <c r="B4413" s="61">
        <v>4380</v>
      </c>
      <c r="C4413" s="61">
        <v>340686.85413411376</v>
      </c>
      <c r="D4413" s="102">
        <v>0.31016139032534151</v>
      </c>
    </row>
    <row r="4414" spans="2:4" x14ac:dyDescent="0.25">
      <c r="B4414" s="61">
        <v>4381</v>
      </c>
      <c r="C4414" s="61">
        <v>444239.84658728808</v>
      </c>
      <c r="D4414" s="102">
        <v>0.40533661167307944</v>
      </c>
    </row>
    <row r="4415" spans="2:4" x14ac:dyDescent="0.25">
      <c r="B4415" s="61">
        <v>4382</v>
      </c>
      <c r="C4415" s="61">
        <v>417981.34071888926</v>
      </c>
      <c r="D4415" s="102">
        <v>0.36653745664581594</v>
      </c>
    </row>
    <row r="4416" spans="2:4" x14ac:dyDescent="0.25">
      <c r="B4416" s="61">
        <v>4383</v>
      </c>
      <c r="C4416" s="61">
        <v>428967.85441347456</v>
      </c>
      <c r="D4416" s="102">
        <v>0.3800954259256164</v>
      </c>
    </row>
    <row r="4417" spans="2:4" x14ac:dyDescent="0.25">
      <c r="B4417" s="61">
        <v>4384</v>
      </c>
      <c r="C4417" s="61">
        <v>130339.89098677313</v>
      </c>
      <c r="D4417" s="102">
        <v>0.17936780103418726</v>
      </c>
    </row>
    <row r="4418" spans="2:4" x14ac:dyDescent="0.25">
      <c r="B4418" s="61">
        <v>4385</v>
      </c>
      <c r="C4418" s="61">
        <v>423206.23553416203</v>
      </c>
      <c r="D4418" s="102">
        <v>0.3571139163531476</v>
      </c>
    </row>
    <row r="4419" spans="2:4" x14ac:dyDescent="0.25">
      <c r="B4419" s="61">
        <v>4386</v>
      </c>
      <c r="C4419" s="61">
        <v>313293.18671870627</v>
      </c>
      <c r="D4419" s="102">
        <v>0.33544631238128142</v>
      </c>
    </row>
    <row r="4420" spans="2:4" x14ac:dyDescent="0.25">
      <c r="B4420" s="61">
        <v>4387</v>
      </c>
      <c r="C4420" s="61">
        <v>304986.80360376416</v>
      </c>
      <c r="D4420" s="102">
        <v>0.28275238563327609</v>
      </c>
    </row>
    <row r="4421" spans="2:4" x14ac:dyDescent="0.25">
      <c r="B4421" s="61">
        <v>4388</v>
      </c>
      <c r="C4421" s="61">
        <v>231522.61902998853</v>
      </c>
      <c r="D4421" s="102">
        <v>0.22584569307633795</v>
      </c>
    </row>
    <row r="4422" spans="2:4" x14ac:dyDescent="0.25">
      <c r="B4422" s="61">
        <v>4389</v>
      </c>
      <c r="C4422" s="61">
        <v>378186.62319438672</v>
      </c>
      <c r="D4422" s="102">
        <v>0.41945933613579256</v>
      </c>
    </row>
    <row r="4423" spans="2:4" x14ac:dyDescent="0.25">
      <c r="B4423" s="61">
        <v>4390</v>
      </c>
      <c r="C4423" s="61">
        <v>340453.80044717528</v>
      </c>
      <c r="D4423" s="102">
        <v>0.29499217848262194</v>
      </c>
    </row>
    <row r="4424" spans="2:4" x14ac:dyDescent="0.25">
      <c r="B4424" s="61">
        <v>4391</v>
      </c>
      <c r="C4424" s="61">
        <v>382316.49828606623</v>
      </c>
      <c r="D4424" s="102">
        <v>0.36635965815228899</v>
      </c>
    </row>
    <row r="4425" spans="2:4" x14ac:dyDescent="0.25">
      <c r="B4425" s="61">
        <v>4392</v>
      </c>
      <c r="C4425" s="61">
        <v>392016.01231308421</v>
      </c>
      <c r="D4425" s="102">
        <v>0.35088962968808879</v>
      </c>
    </row>
    <row r="4426" spans="2:4" x14ac:dyDescent="0.25">
      <c r="B4426" s="61">
        <v>4393</v>
      </c>
      <c r="C4426" s="61">
        <v>295359.8698325929</v>
      </c>
      <c r="D4426" s="102">
        <v>0.2985565354858275</v>
      </c>
    </row>
    <row r="4427" spans="2:4" x14ac:dyDescent="0.25">
      <c r="B4427" s="61">
        <v>4394</v>
      </c>
      <c r="C4427" s="61">
        <v>24546.842532083218</v>
      </c>
      <c r="D4427" s="102">
        <v>8.2601072946082432E-2</v>
      </c>
    </row>
    <row r="4428" spans="2:4" x14ac:dyDescent="0.25">
      <c r="B4428" s="61">
        <v>4395</v>
      </c>
      <c r="C4428" s="61">
        <v>66004.743489722023</v>
      </c>
      <c r="D4428" s="102">
        <v>0.13420523966708542</v>
      </c>
    </row>
    <row r="4429" spans="2:4" x14ac:dyDescent="0.25">
      <c r="B4429" s="61">
        <v>4396</v>
      </c>
      <c r="C4429" s="61">
        <v>246975.84436143539</v>
      </c>
      <c r="D4429" s="102">
        <v>0.22864507438150805</v>
      </c>
    </row>
    <row r="4430" spans="2:4" x14ac:dyDescent="0.25">
      <c r="B4430" s="61">
        <v>4397</v>
      </c>
      <c r="C4430" s="61">
        <v>362771.79154933162</v>
      </c>
      <c r="D4430" s="102">
        <v>0.40897114521782085</v>
      </c>
    </row>
    <row r="4431" spans="2:4" x14ac:dyDescent="0.25">
      <c r="B4431" s="61">
        <v>4398</v>
      </c>
      <c r="C4431" s="61">
        <v>170980.9532009745</v>
      </c>
      <c r="D4431" s="102">
        <v>0.20199533640321232</v>
      </c>
    </row>
    <row r="4432" spans="2:4" x14ac:dyDescent="0.25">
      <c r="B4432" s="61">
        <v>4399</v>
      </c>
      <c r="C4432" s="61">
        <v>219024.08628495911</v>
      </c>
      <c r="D4432" s="102">
        <v>0.20452028798291022</v>
      </c>
    </row>
    <row r="4433" spans="2:4" x14ac:dyDescent="0.25">
      <c r="B4433" s="61">
        <v>4400</v>
      </c>
      <c r="C4433" s="61">
        <v>268035.12470032007</v>
      </c>
      <c r="D4433" s="102">
        <v>0.27858891258111318</v>
      </c>
    </row>
    <row r="4434" spans="2:4" x14ac:dyDescent="0.25">
      <c r="B4434" s="61">
        <v>4401</v>
      </c>
      <c r="C4434" s="61">
        <v>160662.50948290469</v>
      </c>
      <c r="D4434" s="102">
        <v>0.2072797141343008</v>
      </c>
    </row>
    <row r="4435" spans="2:4" x14ac:dyDescent="0.25">
      <c r="B4435" s="61">
        <v>4402</v>
      </c>
      <c r="C4435" s="61">
        <v>310010.60228985059</v>
      </c>
      <c r="D4435" s="102">
        <v>0.3367103443951871</v>
      </c>
    </row>
    <row r="4436" spans="2:4" x14ac:dyDescent="0.25">
      <c r="B4436" s="61">
        <v>4403</v>
      </c>
      <c r="C4436" s="61">
        <v>344289.83115239884</v>
      </c>
      <c r="D4436" s="102">
        <v>0.38044830257472917</v>
      </c>
    </row>
    <row r="4437" spans="2:4" x14ac:dyDescent="0.25">
      <c r="B4437" s="61">
        <v>4404</v>
      </c>
      <c r="C4437" s="61">
        <v>211908.77215192048</v>
      </c>
      <c r="D4437" s="102">
        <v>0.21171229080774756</v>
      </c>
    </row>
    <row r="4438" spans="2:4" x14ac:dyDescent="0.25">
      <c r="B4438" s="61">
        <v>4405</v>
      </c>
      <c r="C4438" s="61">
        <v>197293.81838571816</v>
      </c>
      <c r="D4438" s="102">
        <v>0.24059047562924518</v>
      </c>
    </row>
    <row r="4439" spans="2:4" x14ac:dyDescent="0.25">
      <c r="B4439" s="61">
        <v>4406</v>
      </c>
      <c r="C4439" s="61">
        <v>192811.36901558074</v>
      </c>
      <c r="D4439" s="102">
        <v>0.25745851544368148</v>
      </c>
    </row>
    <row r="4440" spans="2:4" x14ac:dyDescent="0.25">
      <c r="B4440" s="61">
        <v>4407</v>
      </c>
      <c r="C4440" s="61">
        <v>260931.26472389605</v>
      </c>
      <c r="D4440" s="102">
        <v>0.29233824450160339</v>
      </c>
    </row>
    <row r="4441" spans="2:4" x14ac:dyDescent="0.25">
      <c r="B4441" s="61">
        <v>4408</v>
      </c>
      <c r="C4441" s="61">
        <v>359366.46922554378</v>
      </c>
      <c r="D4441" s="102">
        <v>0.33118464506968914</v>
      </c>
    </row>
    <row r="4442" spans="2:4" x14ac:dyDescent="0.25">
      <c r="B4442" s="61">
        <v>4409</v>
      </c>
      <c r="C4442" s="61">
        <v>477608.31607819989</v>
      </c>
      <c r="D4442" s="102">
        <v>0.46712839360181868</v>
      </c>
    </row>
    <row r="4443" spans="2:4" x14ac:dyDescent="0.25">
      <c r="B4443" s="61">
        <v>4410</v>
      </c>
      <c r="C4443" s="61">
        <v>328961.46596257621</v>
      </c>
      <c r="D4443" s="102">
        <v>0.36897196688236766</v>
      </c>
    </row>
    <row r="4444" spans="2:4" x14ac:dyDescent="0.25">
      <c r="B4444" s="61">
        <v>4411</v>
      </c>
      <c r="C4444" s="61">
        <v>49268.082826059195</v>
      </c>
      <c r="D4444" s="102">
        <v>9.5176814515528507E-2</v>
      </c>
    </row>
    <row r="4445" spans="2:4" x14ac:dyDescent="0.25">
      <c r="B4445" s="61">
        <v>4412</v>
      </c>
      <c r="C4445" s="61">
        <v>108351.32924074819</v>
      </c>
      <c r="D4445" s="102">
        <v>0.13358649640385178</v>
      </c>
    </row>
    <row r="4446" spans="2:4" x14ac:dyDescent="0.25">
      <c r="B4446" s="61">
        <v>4413</v>
      </c>
      <c r="C4446" s="61">
        <v>383028.5413424588</v>
      </c>
      <c r="D4446" s="102">
        <v>0.31745681308412421</v>
      </c>
    </row>
    <row r="4447" spans="2:4" x14ac:dyDescent="0.25">
      <c r="B4447" s="61">
        <v>4414</v>
      </c>
      <c r="C4447" s="61">
        <v>505555.20539676317</v>
      </c>
      <c r="D4447" s="102">
        <v>0.53105375597519933</v>
      </c>
    </row>
    <row r="4448" spans="2:4" x14ac:dyDescent="0.25">
      <c r="B4448" s="61">
        <v>4415</v>
      </c>
      <c r="C4448" s="61">
        <v>366785.51231026009</v>
      </c>
      <c r="D4448" s="102">
        <v>0.33966294908354988</v>
      </c>
    </row>
    <row r="4449" spans="2:4" x14ac:dyDescent="0.25">
      <c r="B4449" s="61">
        <v>4416</v>
      </c>
      <c r="C4449" s="61">
        <v>370559.1026921575</v>
      </c>
      <c r="D4449" s="102">
        <v>0.36548485725479951</v>
      </c>
    </row>
    <row r="4450" spans="2:4" x14ac:dyDescent="0.25">
      <c r="B4450" s="61">
        <v>4417</v>
      </c>
      <c r="C4450" s="61">
        <v>134389.66248516121</v>
      </c>
      <c r="D4450" s="102">
        <v>0.20659926076859558</v>
      </c>
    </row>
    <row r="4451" spans="2:4" x14ac:dyDescent="0.25">
      <c r="B4451" s="61">
        <v>4418</v>
      </c>
      <c r="C4451" s="61">
        <v>118006.28898270859</v>
      </c>
      <c r="D4451" s="102">
        <v>0.14464542960024773</v>
      </c>
    </row>
    <row r="4452" spans="2:4" x14ac:dyDescent="0.25">
      <c r="B4452" s="61">
        <v>4419</v>
      </c>
      <c r="C4452" s="61">
        <v>260762.34732002264</v>
      </c>
      <c r="D4452" s="102">
        <v>0.2482685286775792</v>
      </c>
    </row>
    <row r="4453" spans="2:4" x14ac:dyDescent="0.25">
      <c r="B4453" s="61">
        <v>4420</v>
      </c>
      <c r="C4453" s="61">
        <v>299477.94709393219</v>
      </c>
      <c r="D4453" s="102">
        <v>0.26500533251313807</v>
      </c>
    </row>
    <row r="4454" spans="2:4" x14ac:dyDescent="0.25">
      <c r="B4454" s="61">
        <v>4421</v>
      </c>
      <c r="C4454" s="61">
        <v>543335.30141495774</v>
      </c>
      <c r="D4454" s="102">
        <v>0.44362590577397465</v>
      </c>
    </row>
    <row r="4455" spans="2:4" x14ac:dyDescent="0.25">
      <c r="B4455" s="61">
        <v>4422</v>
      </c>
      <c r="C4455" s="61">
        <v>309545.34740329417</v>
      </c>
      <c r="D4455" s="102">
        <v>0.31775773545172803</v>
      </c>
    </row>
    <row r="4456" spans="2:4" x14ac:dyDescent="0.25">
      <c r="B4456" s="61">
        <v>4423</v>
      </c>
      <c r="C4456" s="61">
        <v>357211.68816502288</v>
      </c>
      <c r="D4456" s="102">
        <v>0.29436963693678431</v>
      </c>
    </row>
    <row r="4457" spans="2:4" x14ac:dyDescent="0.25">
      <c r="B4457" s="61">
        <v>4424</v>
      </c>
      <c r="C4457" s="61">
        <v>98747.568217204476</v>
      </c>
      <c r="D4457" s="102">
        <v>0.15029679008133257</v>
      </c>
    </row>
    <row r="4458" spans="2:4" x14ac:dyDescent="0.25">
      <c r="B4458" s="61">
        <v>4425</v>
      </c>
      <c r="C4458" s="61">
        <v>90146.719907953579</v>
      </c>
      <c r="D4458" s="102">
        <v>0.14975126712645115</v>
      </c>
    </row>
    <row r="4459" spans="2:4" x14ac:dyDescent="0.25">
      <c r="B4459" s="61">
        <v>4426</v>
      </c>
      <c r="C4459" s="61">
        <v>103930.87234239478</v>
      </c>
      <c r="D4459" s="102">
        <v>0.16267619595790217</v>
      </c>
    </row>
    <row r="4460" spans="2:4" x14ac:dyDescent="0.25">
      <c r="B4460" s="61">
        <v>4427</v>
      </c>
      <c r="C4460" s="61">
        <v>264432.59792462713</v>
      </c>
      <c r="D4460" s="102">
        <v>0.24198400718931334</v>
      </c>
    </row>
    <row r="4461" spans="2:4" x14ac:dyDescent="0.25">
      <c r="B4461" s="61">
        <v>4428</v>
      </c>
      <c r="C4461" s="61">
        <v>142269.43437385157</v>
      </c>
      <c r="D4461" s="102">
        <v>0.1937030109170923</v>
      </c>
    </row>
    <row r="4462" spans="2:4" x14ac:dyDescent="0.25">
      <c r="B4462" s="61">
        <v>4429</v>
      </c>
      <c r="C4462" s="61">
        <v>274284.62927708519</v>
      </c>
      <c r="D4462" s="102">
        <v>0.2797413082953466</v>
      </c>
    </row>
    <row r="4463" spans="2:4" x14ac:dyDescent="0.25">
      <c r="B4463" s="61">
        <v>4430</v>
      </c>
      <c r="C4463" s="61">
        <v>546161.19265873381</v>
      </c>
      <c r="D4463" s="102">
        <v>0.4347477903261554</v>
      </c>
    </row>
    <row r="4464" spans="2:4" x14ac:dyDescent="0.25">
      <c r="B4464" s="61">
        <v>4431</v>
      </c>
      <c r="C4464" s="61">
        <v>236235.49415125477</v>
      </c>
      <c r="D4464" s="102">
        <v>0.23403487366764475</v>
      </c>
    </row>
    <row r="4465" spans="2:4" x14ac:dyDescent="0.25">
      <c r="B4465" s="61">
        <v>4432</v>
      </c>
      <c r="C4465" s="61">
        <v>219264.6916075137</v>
      </c>
      <c r="D4465" s="102">
        <v>0.2234880076091339</v>
      </c>
    </row>
    <row r="4466" spans="2:4" x14ac:dyDescent="0.25">
      <c r="B4466" s="61">
        <v>4433</v>
      </c>
      <c r="C4466" s="61">
        <v>77869.517803296854</v>
      </c>
      <c r="D4466" s="102">
        <v>0.1279865612160187</v>
      </c>
    </row>
    <row r="4467" spans="2:4" x14ac:dyDescent="0.25">
      <c r="B4467" s="61">
        <v>4434</v>
      </c>
      <c r="C4467" s="61">
        <v>344459.58416994277</v>
      </c>
      <c r="D4467" s="102">
        <v>0.36565842300951257</v>
      </c>
    </row>
    <row r="4468" spans="2:4" x14ac:dyDescent="0.25">
      <c r="B4468" s="61">
        <v>4435</v>
      </c>
      <c r="C4468" s="61">
        <v>198687.0643928817</v>
      </c>
      <c r="D4468" s="102">
        <v>0.21109655343422529</v>
      </c>
    </row>
    <row r="4469" spans="2:4" x14ac:dyDescent="0.25">
      <c r="B4469" s="61">
        <v>4436</v>
      </c>
      <c r="C4469" s="61">
        <v>282609.48876552121</v>
      </c>
      <c r="D4469" s="102">
        <v>0.32591161657307177</v>
      </c>
    </row>
    <row r="4470" spans="2:4" x14ac:dyDescent="0.25">
      <c r="B4470" s="61">
        <v>4437</v>
      </c>
      <c r="C4470" s="61">
        <v>157496.45130696468</v>
      </c>
      <c r="D4470" s="102">
        <v>0.16094827218765984</v>
      </c>
    </row>
    <row r="4471" spans="2:4" x14ac:dyDescent="0.25">
      <c r="B4471" s="61">
        <v>4438</v>
      </c>
      <c r="C4471" s="61">
        <v>266688.65325840074</v>
      </c>
      <c r="D4471" s="102">
        <v>0.24823840913086981</v>
      </c>
    </row>
    <row r="4472" spans="2:4" x14ac:dyDescent="0.25">
      <c r="B4472" s="61">
        <v>4439</v>
      </c>
      <c r="C4472" s="61">
        <v>686166.95602377388</v>
      </c>
      <c r="D4472" s="102">
        <v>0.59339072949431881</v>
      </c>
    </row>
    <row r="4473" spans="2:4" x14ac:dyDescent="0.25">
      <c r="B4473" s="61">
        <v>4440</v>
      </c>
      <c r="C4473" s="61">
        <v>103852.11005050782</v>
      </c>
      <c r="D4473" s="102">
        <v>0.1281425081402805</v>
      </c>
    </row>
    <row r="4474" spans="2:4" x14ac:dyDescent="0.25">
      <c r="B4474" s="61">
        <v>4441</v>
      </c>
      <c r="C4474" s="61">
        <v>267743.17395827523</v>
      </c>
      <c r="D4474" s="102">
        <v>0.29569738717734606</v>
      </c>
    </row>
    <row r="4475" spans="2:4" x14ac:dyDescent="0.25">
      <c r="B4475" s="61">
        <v>4442</v>
      </c>
      <c r="C4475" s="61">
        <v>480117.90676742874</v>
      </c>
      <c r="D4475" s="102">
        <v>0.37404904157372454</v>
      </c>
    </row>
    <row r="4476" spans="2:4" x14ac:dyDescent="0.25">
      <c r="B4476" s="61">
        <v>4443</v>
      </c>
      <c r="C4476" s="61">
        <v>248490.97626908985</v>
      </c>
      <c r="D4476" s="102">
        <v>0.29847476080450841</v>
      </c>
    </row>
    <row r="4477" spans="2:4" x14ac:dyDescent="0.25">
      <c r="B4477" s="61">
        <v>4444</v>
      </c>
      <c r="C4477" s="61">
        <v>322387.72409916285</v>
      </c>
      <c r="D4477" s="102">
        <v>0.31771776740138602</v>
      </c>
    </row>
    <row r="4478" spans="2:4" x14ac:dyDescent="0.25">
      <c r="B4478" s="61">
        <v>4445</v>
      </c>
      <c r="C4478" s="61">
        <v>159124.13481063832</v>
      </c>
      <c r="D4478" s="102">
        <v>0.17139214430068406</v>
      </c>
    </row>
    <row r="4479" spans="2:4" x14ac:dyDescent="0.25">
      <c r="B4479" s="61">
        <v>4446</v>
      </c>
      <c r="C4479" s="61">
        <v>222300.25541616871</v>
      </c>
      <c r="D4479" s="102">
        <v>0.25901091464842052</v>
      </c>
    </row>
    <row r="4480" spans="2:4" x14ac:dyDescent="0.25">
      <c r="B4480" s="61">
        <v>4447</v>
      </c>
      <c r="C4480" s="61">
        <v>315920.33052207145</v>
      </c>
      <c r="D4480" s="102">
        <v>0.37437492179687992</v>
      </c>
    </row>
    <row r="4481" spans="2:4" x14ac:dyDescent="0.25">
      <c r="B4481" s="61">
        <v>4448</v>
      </c>
      <c r="C4481" s="61">
        <v>174235.54139832756</v>
      </c>
      <c r="D4481" s="102">
        <v>0.22368833055508852</v>
      </c>
    </row>
    <row r="4482" spans="2:4" x14ac:dyDescent="0.25">
      <c r="B4482" s="61">
        <v>4449</v>
      </c>
      <c r="C4482" s="61">
        <v>439786.22680156317</v>
      </c>
      <c r="D4482" s="102">
        <v>0.37844040948931545</v>
      </c>
    </row>
    <row r="4483" spans="2:4" x14ac:dyDescent="0.25">
      <c r="B4483" s="61">
        <v>4450</v>
      </c>
      <c r="C4483" s="61">
        <v>480213.09741019458</v>
      </c>
      <c r="D4483" s="102">
        <v>0.38084954897772905</v>
      </c>
    </row>
    <row r="4484" spans="2:4" x14ac:dyDescent="0.25">
      <c r="B4484" s="61">
        <v>4451</v>
      </c>
      <c r="C4484" s="61">
        <v>303969.52983218443</v>
      </c>
      <c r="D4484" s="102">
        <v>0.28449182883800916</v>
      </c>
    </row>
    <row r="4485" spans="2:4" x14ac:dyDescent="0.25">
      <c r="B4485" s="61">
        <v>4452</v>
      </c>
      <c r="C4485" s="61">
        <v>486932.7140547696</v>
      </c>
      <c r="D4485" s="102">
        <v>0.38670782277313021</v>
      </c>
    </row>
    <row r="4486" spans="2:4" x14ac:dyDescent="0.25">
      <c r="B4486" s="61">
        <v>4453</v>
      </c>
      <c r="C4486" s="61">
        <v>2059.7129502413445</v>
      </c>
      <c r="D4486" s="102">
        <v>6.5145577456773518E-2</v>
      </c>
    </row>
    <row r="4487" spans="2:4" x14ac:dyDescent="0.25">
      <c r="B4487" s="61">
        <v>4454</v>
      </c>
      <c r="C4487" s="61">
        <v>587.46217621478718</v>
      </c>
      <c r="D4487" s="102">
        <v>6.3931950203527377E-2</v>
      </c>
    </row>
    <row r="4488" spans="2:4" x14ac:dyDescent="0.25">
      <c r="B4488" s="61">
        <v>4455</v>
      </c>
      <c r="C4488" s="61">
        <v>360958.98416366661</v>
      </c>
      <c r="D4488" s="102">
        <v>0.32055220878117741</v>
      </c>
    </row>
    <row r="4489" spans="2:4" x14ac:dyDescent="0.25">
      <c r="B4489" s="61">
        <v>4456</v>
      </c>
      <c r="C4489" s="61">
        <v>286261.06807101541</v>
      </c>
      <c r="D4489" s="102">
        <v>0.30292234445921062</v>
      </c>
    </row>
    <row r="4490" spans="2:4" x14ac:dyDescent="0.25">
      <c r="B4490" s="61">
        <v>4457</v>
      </c>
      <c r="C4490" s="61">
        <v>242473.33720340475</v>
      </c>
      <c r="D4490" s="102">
        <v>0.35981629626511036</v>
      </c>
    </row>
    <row r="4491" spans="2:4" x14ac:dyDescent="0.25">
      <c r="B4491" s="61">
        <v>4458</v>
      </c>
      <c r="C4491" s="61">
        <v>173684.66588878538</v>
      </c>
      <c r="D4491" s="102">
        <v>0.24915965839787613</v>
      </c>
    </row>
    <row r="4492" spans="2:4" x14ac:dyDescent="0.25">
      <c r="B4492" s="61">
        <v>4459</v>
      </c>
      <c r="C4492" s="61">
        <v>247088.60547653888</v>
      </c>
      <c r="D4492" s="102">
        <v>0.26463971053448021</v>
      </c>
    </row>
    <row r="4493" spans="2:4" x14ac:dyDescent="0.25">
      <c r="B4493" s="61">
        <v>4460</v>
      </c>
      <c r="C4493" s="61">
        <v>217274.54053013283</v>
      </c>
      <c r="D4493" s="102">
        <v>0.23296269317774643</v>
      </c>
    </row>
    <row r="4494" spans="2:4" x14ac:dyDescent="0.25">
      <c r="B4494" s="61">
        <v>4461</v>
      </c>
      <c r="C4494" s="61">
        <v>404144.11179461342</v>
      </c>
      <c r="D4494" s="102">
        <v>0.3575515981955304</v>
      </c>
    </row>
    <row r="4495" spans="2:4" x14ac:dyDescent="0.25">
      <c r="B4495" s="61">
        <v>4462</v>
      </c>
      <c r="C4495" s="61">
        <v>198104.64757999836</v>
      </c>
      <c r="D4495" s="102">
        <v>0.25390804913114007</v>
      </c>
    </row>
    <row r="4496" spans="2:4" x14ac:dyDescent="0.25">
      <c r="B4496" s="61">
        <v>4463</v>
      </c>
      <c r="C4496" s="61">
        <v>235267.73989624286</v>
      </c>
      <c r="D4496" s="102">
        <v>0.29210102847716968</v>
      </c>
    </row>
    <row r="4497" spans="2:4" x14ac:dyDescent="0.25">
      <c r="B4497" s="61">
        <v>4464</v>
      </c>
      <c r="C4497" s="61">
        <v>225228.70247262169</v>
      </c>
      <c r="D4497" s="102">
        <v>0.29684444351934514</v>
      </c>
    </row>
    <row r="4498" spans="2:4" x14ac:dyDescent="0.25">
      <c r="B4498" s="61">
        <v>4465</v>
      </c>
      <c r="C4498" s="61">
        <v>254952.34727001004</v>
      </c>
      <c r="D4498" s="102">
        <v>0.28677762854304167</v>
      </c>
    </row>
    <row r="4499" spans="2:4" x14ac:dyDescent="0.25">
      <c r="B4499" s="61">
        <v>4466</v>
      </c>
      <c r="C4499" s="61">
        <v>-50677.68333051115</v>
      </c>
      <c r="D4499" s="102">
        <v>1.2907458857861043E-2</v>
      </c>
    </row>
    <row r="4500" spans="2:4" x14ac:dyDescent="0.25">
      <c r="B4500" s="61">
        <v>4467</v>
      </c>
      <c r="C4500" s="61">
        <v>425442.74816416355</v>
      </c>
      <c r="D4500" s="102">
        <v>0.45025233342863968</v>
      </c>
    </row>
    <row r="4501" spans="2:4" x14ac:dyDescent="0.25">
      <c r="B4501" s="61">
        <v>4468</v>
      </c>
      <c r="C4501" s="61">
        <v>184108.58313529566</v>
      </c>
      <c r="D4501" s="102">
        <v>0.18373747570936416</v>
      </c>
    </row>
    <row r="4502" spans="2:4" x14ac:dyDescent="0.25">
      <c r="B4502" s="61">
        <v>4469</v>
      </c>
      <c r="C4502" s="61">
        <v>23884.126339982264</v>
      </c>
      <c r="D4502" s="102">
        <v>9.2571583633141774E-2</v>
      </c>
    </row>
    <row r="4503" spans="2:4" x14ac:dyDescent="0.25">
      <c r="B4503" s="61">
        <v>4470</v>
      </c>
      <c r="C4503" s="61">
        <v>219427.22881797131</v>
      </c>
      <c r="D4503" s="102">
        <v>0.23458044041994097</v>
      </c>
    </row>
    <row r="4504" spans="2:4" x14ac:dyDescent="0.25">
      <c r="B4504" s="61">
        <v>4471</v>
      </c>
      <c r="C4504" s="61">
        <v>299576.74615578796</v>
      </c>
      <c r="D4504" s="102">
        <v>0.3323043393881715</v>
      </c>
    </row>
    <row r="4505" spans="2:4" x14ac:dyDescent="0.25">
      <c r="B4505" s="61">
        <v>4472</v>
      </c>
      <c r="C4505" s="61">
        <v>170459.37789144041</v>
      </c>
      <c r="D4505" s="102">
        <v>0.18694572123316622</v>
      </c>
    </row>
    <row r="4506" spans="2:4" x14ac:dyDescent="0.25">
      <c r="B4506" s="61">
        <v>4473</v>
      </c>
      <c r="C4506" s="61">
        <v>205220.31921099278</v>
      </c>
      <c r="D4506" s="102">
        <v>0.23212723943179792</v>
      </c>
    </row>
    <row r="4507" spans="2:4" x14ac:dyDescent="0.25">
      <c r="B4507" s="61">
        <v>4474</v>
      </c>
      <c r="C4507" s="61">
        <v>390618.26687009074</v>
      </c>
      <c r="D4507" s="102">
        <v>0.36781494583214935</v>
      </c>
    </row>
    <row r="4508" spans="2:4" x14ac:dyDescent="0.25">
      <c r="B4508" s="61">
        <v>4475</v>
      </c>
      <c r="C4508" s="61">
        <v>362391.63452443911</v>
      </c>
      <c r="D4508" s="102">
        <v>0.36828837267995751</v>
      </c>
    </row>
    <row r="4509" spans="2:4" x14ac:dyDescent="0.25">
      <c r="B4509" s="61">
        <v>4476</v>
      </c>
      <c r="C4509" s="61">
        <v>391979.49003438512</v>
      </c>
      <c r="D4509" s="102">
        <v>0.38793718141187195</v>
      </c>
    </row>
    <row r="4510" spans="2:4" x14ac:dyDescent="0.25">
      <c r="B4510" s="61">
        <v>4477</v>
      </c>
      <c r="C4510" s="61">
        <v>358560.39778340457</v>
      </c>
      <c r="D4510" s="102">
        <v>0.26909976042229933</v>
      </c>
    </row>
    <row r="4511" spans="2:4" x14ac:dyDescent="0.25">
      <c r="B4511" s="61">
        <v>4478</v>
      </c>
      <c r="C4511" s="61">
        <v>163384.71731007157</v>
      </c>
      <c r="D4511" s="102">
        <v>0.20147002674194381</v>
      </c>
    </row>
    <row r="4512" spans="2:4" x14ac:dyDescent="0.25">
      <c r="B4512" s="61">
        <v>4479</v>
      </c>
      <c r="C4512" s="61">
        <v>159589.73562026501</v>
      </c>
      <c r="D4512" s="102">
        <v>0.18367306827554275</v>
      </c>
    </row>
    <row r="4513" spans="2:4" x14ac:dyDescent="0.25">
      <c r="B4513" s="61">
        <v>4480</v>
      </c>
      <c r="C4513" s="61">
        <v>166475.3891199379</v>
      </c>
      <c r="D4513" s="102">
        <v>0.20475604948008463</v>
      </c>
    </row>
    <row r="4514" spans="2:4" x14ac:dyDescent="0.25">
      <c r="B4514" s="61">
        <v>4481</v>
      </c>
      <c r="C4514" s="61">
        <v>274469.85668214899</v>
      </c>
      <c r="D4514" s="102">
        <v>0.23531994651743959</v>
      </c>
    </row>
    <row r="4515" spans="2:4" x14ac:dyDescent="0.25">
      <c r="B4515" s="61">
        <v>4482</v>
      </c>
      <c r="C4515" s="61">
        <v>442561.37045561511</v>
      </c>
      <c r="D4515" s="102">
        <v>0.43197376776905183</v>
      </c>
    </row>
    <row r="4516" spans="2:4" x14ac:dyDescent="0.25">
      <c r="B4516" s="61">
        <v>4483</v>
      </c>
      <c r="C4516" s="61">
        <v>182272.77752005216</v>
      </c>
      <c r="D4516" s="102">
        <v>0.20700888593124489</v>
      </c>
    </row>
    <row r="4517" spans="2:4" x14ac:dyDescent="0.25">
      <c r="B4517" s="61">
        <v>4484</v>
      </c>
      <c r="C4517" s="61">
        <v>182558.31491698301</v>
      </c>
      <c r="D4517" s="102">
        <v>0.22308247783941559</v>
      </c>
    </row>
    <row r="4518" spans="2:4" x14ac:dyDescent="0.25">
      <c r="B4518" s="61">
        <v>4485</v>
      </c>
      <c r="C4518" s="61">
        <v>503756.28431445162</v>
      </c>
      <c r="D4518" s="102">
        <v>0.42715923797734745</v>
      </c>
    </row>
    <row r="4519" spans="2:4" x14ac:dyDescent="0.25">
      <c r="B4519" s="61">
        <v>4486</v>
      </c>
      <c r="C4519" s="61">
        <v>426454.60034433787</v>
      </c>
      <c r="D4519" s="102">
        <v>0.39336253709483704</v>
      </c>
    </row>
    <row r="4520" spans="2:4" x14ac:dyDescent="0.25">
      <c r="B4520" s="61">
        <v>4487</v>
      </c>
      <c r="C4520" s="61">
        <v>168113.80912690039</v>
      </c>
      <c r="D4520" s="102">
        <v>0.19043892709439092</v>
      </c>
    </row>
    <row r="4521" spans="2:4" x14ac:dyDescent="0.25">
      <c r="B4521" s="61">
        <v>4488</v>
      </c>
      <c r="C4521" s="61">
        <v>255914.66813308676</v>
      </c>
      <c r="D4521" s="102">
        <v>0.28844824913355938</v>
      </c>
    </row>
    <row r="4522" spans="2:4" x14ac:dyDescent="0.25">
      <c r="B4522" s="61">
        <v>4489</v>
      </c>
      <c r="C4522" s="61">
        <v>-2102.1790753239766</v>
      </c>
      <c r="D4522" s="102">
        <v>6.1981686487023513E-2</v>
      </c>
    </row>
    <row r="4523" spans="2:4" x14ac:dyDescent="0.25">
      <c r="B4523" s="61">
        <v>4490</v>
      </c>
      <c r="C4523" s="61">
        <v>4129.3523138341261</v>
      </c>
      <c r="D4523" s="102">
        <v>6.8467759247187177E-2</v>
      </c>
    </row>
    <row r="4524" spans="2:4" x14ac:dyDescent="0.25">
      <c r="B4524" s="61">
        <v>4491</v>
      </c>
      <c r="C4524" s="61">
        <v>321605.22330131487</v>
      </c>
      <c r="D4524" s="102">
        <v>0.29387357340134113</v>
      </c>
    </row>
    <row r="4525" spans="2:4" x14ac:dyDescent="0.25">
      <c r="B4525" s="61">
        <v>4492</v>
      </c>
      <c r="C4525" s="61">
        <v>456878.43613304442</v>
      </c>
      <c r="D4525" s="102">
        <v>0.36097804725450722</v>
      </c>
    </row>
    <row r="4526" spans="2:4" x14ac:dyDescent="0.25">
      <c r="B4526" s="61">
        <v>4493</v>
      </c>
      <c r="C4526" s="61">
        <v>286521.40370750986</v>
      </c>
      <c r="D4526" s="102">
        <v>0.31133455502389595</v>
      </c>
    </row>
    <row r="4527" spans="2:4" x14ac:dyDescent="0.25">
      <c r="B4527" s="61">
        <v>4494</v>
      </c>
      <c r="C4527" s="61">
        <v>269935.09890103759</v>
      </c>
      <c r="D4527" s="102">
        <v>0.27307573901664095</v>
      </c>
    </row>
    <row r="4528" spans="2:4" x14ac:dyDescent="0.25">
      <c r="B4528" s="61">
        <v>4495</v>
      </c>
      <c r="C4528" s="61">
        <v>371180.32547900476</v>
      </c>
      <c r="D4528" s="102">
        <v>0.32749763201698712</v>
      </c>
    </row>
    <row r="4529" spans="2:4" x14ac:dyDescent="0.25">
      <c r="B4529" s="61">
        <v>4496</v>
      </c>
      <c r="C4529" s="61">
        <v>202335.89757965237</v>
      </c>
      <c r="D4529" s="102">
        <v>0.27681014104407398</v>
      </c>
    </row>
    <row r="4530" spans="2:4" x14ac:dyDescent="0.25">
      <c r="B4530" s="61">
        <v>4497</v>
      </c>
      <c r="C4530" s="61">
        <v>392859.19199979457</v>
      </c>
      <c r="D4530" s="102">
        <v>0.36043492125479504</v>
      </c>
    </row>
    <row r="4531" spans="2:4" x14ac:dyDescent="0.25">
      <c r="B4531" s="61">
        <v>4498</v>
      </c>
      <c r="C4531" s="61">
        <v>290805.15281471203</v>
      </c>
      <c r="D4531" s="102">
        <v>0.29576817701006952</v>
      </c>
    </row>
    <row r="4532" spans="2:4" x14ac:dyDescent="0.25">
      <c r="B4532" s="61">
        <v>4499</v>
      </c>
      <c r="C4532" s="61">
        <v>77897.355492680101</v>
      </c>
      <c r="D4532" s="102">
        <v>0.13006881217584554</v>
      </c>
    </row>
    <row r="4533" spans="2:4" x14ac:dyDescent="0.25">
      <c r="B4533" s="61">
        <v>4500</v>
      </c>
      <c r="C4533" s="61">
        <v>297926.97556890128</v>
      </c>
      <c r="D4533" s="102">
        <v>0.32913050782800513</v>
      </c>
    </row>
    <row r="4534" spans="2:4" x14ac:dyDescent="0.25">
      <c r="B4534" s="61">
        <v>4501</v>
      </c>
      <c r="C4534" s="61">
        <v>218667.84885517193</v>
      </c>
      <c r="D4534" s="102">
        <v>0.25388652395658196</v>
      </c>
    </row>
    <row r="4535" spans="2:4" x14ac:dyDescent="0.25">
      <c r="B4535" s="61">
        <v>4502</v>
      </c>
      <c r="C4535" s="61">
        <v>213843.8283948726</v>
      </c>
      <c r="D4535" s="102">
        <v>0.26847899411506271</v>
      </c>
    </row>
    <row r="4536" spans="2:4" x14ac:dyDescent="0.25">
      <c r="B4536" s="61">
        <v>4503</v>
      </c>
      <c r="C4536" s="61">
        <v>409371.77432171861</v>
      </c>
      <c r="D4536" s="102">
        <v>0.41432290315740716</v>
      </c>
    </row>
    <row r="4537" spans="2:4" x14ac:dyDescent="0.25">
      <c r="B4537" s="61">
        <v>4504</v>
      </c>
      <c r="C4537" s="61">
        <v>237623.67678228859</v>
      </c>
      <c r="D4537" s="102">
        <v>0.29367550269060638</v>
      </c>
    </row>
    <row r="4538" spans="2:4" x14ac:dyDescent="0.25">
      <c r="B4538" s="61">
        <v>4505</v>
      </c>
      <c r="C4538" s="61">
        <v>154694.15727991459</v>
      </c>
      <c r="D4538" s="102">
        <v>0.20977598280887944</v>
      </c>
    </row>
    <row r="4539" spans="2:4" x14ac:dyDescent="0.25">
      <c r="B4539" s="61">
        <v>4506</v>
      </c>
      <c r="C4539" s="61">
        <v>473117.73721696867</v>
      </c>
      <c r="D4539" s="102">
        <v>0.37689134452244222</v>
      </c>
    </row>
    <row r="4540" spans="2:4" x14ac:dyDescent="0.25">
      <c r="B4540" s="61">
        <v>4507</v>
      </c>
      <c r="C4540" s="61">
        <v>239423.99462440901</v>
      </c>
      <c r="D4540" s="102">
        <v>0.22206519591401963</v>
      </c>
    </row>
    <row r="4541" spans="2:4" x14ac:dyDescent="0.25">
      <c r="B4541" s="61">
        <v>4508</v>
      </c>
      <c r="C4541" s="61">
        <v>281683.57352943369</v>
      </c>
      <c r="D4541" s="102">
        <v>0.2917259101594154</v>
      </c>
    </row>
    <row r="4542" spans="2:4" x14ac:dyDescent="0.25">
      <c r="B4542" s="61">
        <v>4509</v>
      </c>
      <c r="C4542" s="61">
        <v>288208.21112341178</v>
      </c>
      <c r="D4542" s="102">
        <v>0.29751228019518683</v>
      </c>
    </row>
    <row r="4543" spans="2:4" x14ac:dyDescent="0.25">
      <c r="B4543" s="61">
        <v>4510</v>
      </c>
      <c r="C4543" s="61">
        <v>430636.53451642895</v>
      </c>
      <c r="D4543" s="102">
        <v>0.40666925802170795</v>
      </c>
    </row>
    <row r="4544" spans="2:4" x14ac:dyDescent="0.25">
      <c r="B4544" s="61">
        <v>4511</v>
      </c>
      <c r="C4544" s="61">
        <v>142862.33238256659</v>
      </c>
      <c r="D4544" s="102">
        <v>0.20268872236124169</v>
      </c>
    </row>
    <row r="4545" spans="2:4" x14ac:dyDescent="0.25">
      <c r="B4545" s="61">
        <v>4512</v>
      </c>
      <c r="C4545" s="61">
        <v>338906.33067296527</v>
      </c>
      <c r="D4545" s="102">
        <v>0.3520011564331329</v>
      </c>
    </row>
    <row r="4546" spans="2:4" x14ac:dyDescent="0.25">
      <c r="B4546" s="61">
        <v>4513</v>
      </c>
      <c r="C4546" s="61">
        <v>446501.19157546258</v>
      </c>
      <c r="D4546" s="102">
        <v>0.3742473839085434</v>
      </c>
    </row>
    <row r="4547" spans="2:4" x14ac:dyDescent="0.25">
      <c r="B4547" s="61">
        <v>4514</v>
      </c>
      <c r="C4547" s="61">
        <v>209226.49370764522</v>
      </c>
      <c r="D4547" s="102">
        <v>0.29945486095050722</v>
      </c>
    </row>
    <row r="4548" spans="2:4" x14ac:dyDescent="0.25">
      <c r="B4548" s="61">
        <v>4515</v>
      </c>
      <c r="C4548" s="61">
        <v>271843.46464784432</v>
      </c>
      <c r="D4548" s="102">
        <v>0.27465517617756596</v>
      </c>
    </row>
    <row r="4549" spans="2:4" x14ac:dyDescent="0.25">
      <c r="B4549" s="61">
        <v>4516</v>
      </c>
      <c r="C4549" s="61">
        <v>248970.06435861147</v>
      </c>
      <c r="D4549" s="102">
        <v>0.24767048217537657</v>
      </c>
    </row>
    <row r="4550" spans="2:4" x14ac:dyDescent="0.25">
      <c r="B4550" s="61">
        <v>4517</v>
      </c>
      <c r="C4550" s="61">
        <v>114411.72927913914</v>
      </c>
      <c r="D4550" s="102">
        <v>0.13906689668881467</v>
      </c>
    </row>
    <row r="4551" spans="2:4" x14ac:dyDescent="0.25">
      <c r="B4551" s="61">
        <v>4518</v>
      </c>
      <c r="C4551" s="61">
        <v>267891.7204445384</v>
      </c>
      <c r="D4551" s="102">
        <v>0.28039526798680781</v>
      </c>
    </row>
    <row r="4552" spans="2:4" x14ac:dyDescent="0.25">
      <c r="B4552" s="61">
        <v>4519</v>
      </c>
      <c r="C4552" s="61">
        <v>91978.916862272716</v>
      </c>
      <c r="D4552" s="102">
        <v>0.13814651447854387</v>
      </c>
    </row>
    <row r="4553" spans="2:4" x14ac:dyDescent="0.25">
      <c r="B4553" s="61">
        <v>4520</v>
      </c>
      <c r="C4553" s="61">
        <v>130401.11928211834</v>
      </c>
      <c r="D4553" s="102">
        <v>0.16494339193374619</v>
      </c>
    </row>
    <row r="4554" spans="2:4" x14ac:dyDescent="0.25">
      <c r="B4554" s="61">
        <v>4521</v>
      </c>
      <c r="C4554" s="61">
        <v>170624.82578942855</v>
      </c>
      <c r="D4554" s="102">
        <v>0.20194767003303005</v>
      </c>
    </row>
    <row r="4555" spans="2:4" x14ac:dyDescent="0.25">
      <c r="B4555" s="61">
        <v>4522</v>
      </c>
      <c r="C4555" s="61">
        <v>408965.16146004677</v>
      </c>
      <c r="D4555" s="102">
        <v>0.35476076713610083</v>
      </c>
    </row>
    <row r="4556" spans="2:4" x14ac:dyDescent="0.25">
      <c r="B4556" s="61">
        <v>4523</v>
      </c>
      <c r="C4556" s="61">
        <v>246690.91309994389</v>
      </c>
      <c r="D4556" s="102">
        <v>0.21877718255235057</v>
      </c>
    </row>
    <row r="4557" spans="2:4" x14ac:dyDescent="0.25">
      <c r="B4557" s="61">
        <v>4524</v>
      </c>
      <c r="C4557" s="61">
        <v>81499.051475950866</v>
      </c>
      <c r="D4557" s="102">
        <v>0.12673404473035266</v>
      </c>
    </row>
    <row r="4558" spans="2:4" x14ac:dyDescent="0.25">
      <c r="B4558" s="61">
        <v>4525</v>
      </c>
      <c r="C4558" s="61">
        <v>182389.42718467524</v>
      </c>
      <c r="D4558" s="102">
        <v>0.22115334697684341</v>
      </c>
    </row>
    <row r="4559" spans="2:4" x14ac:dyDescent="0.25">
      <c r="B4559" s="61">
        <v>4526</v>
      </c>
      <c r="C4559" s="61">
        <v>280698.78219538834</v>
      </c>
      <c r="D4559" s="102">
        <v>0.2284917886684712</v>
      </c>
    </row>
    <row r="4560" spans="2:4" x14ac:dyDescent="0.25">
      <c r="B4560" s="61">
        <v>4527</v>
      </c>
      <c r="C4560" s="61">
        <v>337004.06081436272</v>
      </c>
      <c r="D4560" s="102">
        <v>0.360969418711798</v>
      </c>
    </row>
    <row r="4561" spans="2:4" x14ac:dyDescent="0.25">
      <c r="B4561" s="61">
        <v>4528</v>
      </c>
      <c r="C4561" s="61">
        <v>73483.849913015554</v>
      </c>
      <c r="D4561" s="102">
        <v>0.13123744341050614</v>
      </c>
    </row>
    <row r="4562" spans="2:4" x14ac:dyDescent="0.25">
      <c r="B4562" s="61">
        <v>4529</v>
      </c>
      <c r="C4562" s="61">
        <v>424232.56388726132</v>
      </c>
      <c r="D4562" s="102">
        <v>0.36226308918065819</v>
      </c>
    </row>
    <row r="4563" spans="2:4" x14ac:dyDescent="0.25">
      <c r="B4563" s="61">
        <v>4530</v>
      </c>
      <c r="C4563" s="61">
        <v>492312.05286635947</v>
      </c>
      <c r="D4563" s="102">
        <v>0.46090472723084841</v>
      </c>
    </row>
    <row r="4564" spans="2:4" x14ac:dyDescent="0.25">
      <c r="B4564" s="61">
        <v>4531</v>
      </c>
      <c r="C4564" s="61">
        <v>281614.40911642334</v>
      </c>
      <c r="D4564" s="102">
        <v>0.34402934214373437</v>
      </c>
    </row>
    <row r="4565" spans="2:4" x14ac:dyDescent="0.25">
      <c r="B4565" s="61">
        <v>4532</v>
      </c>
      <c r="C4565" s="61">
        <v>82712.529141071951</v>
      </c>
      <c r="D4565" s="102">
        <v>0.13882017999622231</v>
      </c>
    </row>
    <row r="4566" spans="2:4" x14ac:dyDescent="0.25">
      <c r="B4566" s="61">
        <v>4533</v>
      </c>
      <c r="C4566" s="61">
        <v>387023.65623422421</v>
      </c>
      <c r="D4566" s="102">
        <v>0.42709992135519581</v>
      </c>
    </row>
    <row r="4567" spans="2:4" x14ac:dyDescent="0.25">
      <c r="B4567" s="61">
        <v>4534</v>
      </c>
      <c r="C4567" s="61">
        <v>289471.17269036849</v>
      </c>
      <c r="D4567" s="102">
        <v>0.26247573947374514</v>
      </c>
    </row>
    <row r="4568" spans="2:4" x14ac:dyDescent="0.25">
      <c r="B4568" s="61">
        <v>4535</v>
      </c>
      <c r="C4568" s="61">
        <v>280321.00846089784</v>
      </c>
      <c r="D4568" s="102">
        <v>0.30717151981486057</v>
      </c>
    </row>
    <row r="4569" spans="2:4" x14ac:dyDescent="0.25">
      <c r="B4569" s="61">
        <v>4536</v>
      </c>
      <c r="C4569" s="61">
        <v>364624.40186123492</v>
      </c>
      <c r="D4569" s="102">
        <v>0.32513314808965976</v>
      </c>
    </row>
    <row r="4570" spans="2:4" x14ac:dyDescent="0.25">
      <c r="B4570" s="61">
        <v>4537</v>
      </c>
      <c r="C4570" s="61">
        <v>310429.20626202889</v>
      </c>
      <c r="D4570" s="102">
        <v>0.35921023425415588</v>
      </c>
    </row>
    <row r="4571" spans="2:4" x14ac:dyDescent="0.25">
      <c r="B4571" s="61">
        <v>4538</v>
      </c>
      <c r="C4571" s="61">
        <v>451470.77816965536</v>
      </c>
      <c r="D4571" s="102">
        <v>0.3526479982260291</v>
      </c>
    </row>
    <row r="4572" spans="2:4" x14ac:dyDescent="0.25">
      <c r="B4572" s="61">
        <v>4539</v>
      </c>
      <c r="C4572" s="61">
        <v>478880.46629729238</v>
      </c>
      <c r="D4572" s="102">
        <v>0.472068842491429</v>
      </c>
    </row>
    <row r="4573" spans="2:4" x14ac:dyDescent="0.25">
      <c r="B4573" s="61">
        <v>4540</v>
      </c>
      <c r="C4573" s="61">
        <v>511445.78472659062</v>
      </c>
      <c r="D4573" s="102">
        <v>0.49809224787107076</v>
      </c>
    </row>
    <row r="4574" spans="2:4" x14ac:dyDescent="0.25">
      <c r="B4574" s="61">
        <v>4541</v>
      </c>
      <c r="C4574" s="61">
        <v>153079.29142902442</v>
      </c>
      <c r="D4574" s="102">
        <v>0.16459279526219284</v>
      </c>
    </row>
    <row r="4575" spans="2:4" x14ac:dyDescent="0.25">
      <c r="B4575" s="61">
        <v>4542</v>
      </c>
      <c r="C4575" s="61">
        <v>111399.50149948697</v>
      </c>
      <c r="D4575" s="102">
        <v>0.1480228335866911</v>
      </c>
    </row>
    <row r="4576" spans="2:4" x14ac:dyDescent="0.25">
      <c r="B4576" s="61">
        <v>4543</v>
      </c>
      <c r="C4576" s="61">
        <v>235162.22236658691</v>
      </c>
      <c r="D4576" s="102">
        <v>0.20846125928781234</v>
      </c>
    </row>
    <row r="4577" spans="2:4" x14ac:dyDescent="0.25">
      <c r="B4577" s="61">
        <v>4544</v>
      </c>
      <c r="C4577" s="61">
        <v>372775.72339661862</v>
      </c>
      <c r="D4577" s="102">
        <v>0.34512935252948562</v>
      </c>
    </row>
    <row r="4578" spans="2:4" x14ac:dyDescent="0.25">
      <c r="B4578" s="61">
        <v>4545</v>
      </c>
      <c r="C4578" s="61">
        <v>496626.38231707911</v>
      </c>
      <c r="D4578" s="102">
        <v>0.42722563934933144</v>
      </c>
    </row>
    <row r="4579" spans="2:4" x14ac:dyDescent="0.25">
      <c r="B4579" s="61">
        <v>4546</v>
      </c>
      <c r="C4579" s="61">
        <v>401774.50015730527</v>
      </c>
      <c r="D4579" s="102">
        <v>0.38721900544372656</v>
      </c>
    </row>
    <row r="4580" spans="2:4" x14ac:dyDescent="0.25">
      <c r="B4580" s="61">
        <v>4547</v>
      </c>
      <c r="C4580" s="61">
        <v>93561.993843236589</v>
      </c>
      <c r="D4580" s="102">
        <v>0.14217165715463964</v>
      </c>
    </row>
    <row r="4581" spans="2:4" x14ac:dyDescent="0.25">
      <c r="B4581" s="61">
        <v>4548</v>
      </c>
      <c r="C4581" s="61">
        <v>295771.09193961881</v>
      </c>
      <c r="D4581" s="102">
        <v>0.27463186510072735</v>
      </c>
    </row>
    <row r="4582" spans="2:4" x14ac:dyDescent="0.25">
      <c r="B4582" s="61">
        <v>4549</v>
      </c>
      <c r="C4582" s="61">
        <v>89327.59927470953</v>
      </c>
      <c r="D4582" s="102">
        <v>0.14321479674889392</v>
      </c>
    </row>
    <row r="4583" spans="2:4" x14ac:dyDescent="0.25">
      <c r="B4583" s="61">
        <v>4550</v>
      </c>
      <c r="C4583" s="61">
        <v>329874.10290450207</v>
      </c>
      <c r="D4583" s="102">
        <v>0.36331668454984833</v>
      </c>
    </row>
    <row r="4584" spans="2:4" x14ac:dyDescent="0.25">
      <c r="B4584" s="61">
        <v>4551</v>
      </c>
      <c r="C4584" s="61">
        <v>316907.02127000899</v>
      </c>
      <c r="D4584" s="102">
        <v>0.28590683890678226</v>
      </c>
    </row>
    <row r="4585" spans="2:4" x14ac:dyDescent="0.25">
      <c r="B4585" s="61">
        <v>4552</v>
      </c>
      <c r="C4585" s="61">
        <v>397148.38571946416</v>
      </c>
      <c r="D4585" s="102">
        <v>0.37550846841515151</v>
      </c>
    </row>
    <row r="4586" spans="2:4" x14ac:dyDescent="0.25">
      <c r="B4586" s="61">
        <v>4553</v>
      </c>
      <c r="C4586" s="61">
        <v>55646.994362695084</v>
      </c>
      <c r="D4586" s="102">
        <v>0.10746643174898107</v>
      </c>
    </row>
    <row r="4587" spans="2:4" x14ac:dyDescent="0.25">
      <c r="B4587" s="61">
        <v>4554</v>
      </c>
      <c r="C4587" s="61">
        <v>330325.46330752794</v>
      </c>
      <c r="D4587" s="102">
        <v>0.29163871805830754</v>
      </c>
    </row>
    <row r="4588" spans="2:4" x14ac:dyDescent="0.25">
      <c r="B4588" s="61">
        <v>4555</v>
      </c>
      <c r="C4588" s="61">
        <v>448852.02864770894</v>
      </c>
      <c r="D4588" s="102">
        <v>0.41353911022597201</v>
      </c>
    </row>
    <row r="4589" spans="2:4" x14ac:dyDescent="0.25">
      <c r="B4589" s="61">
        <v>4556</v>
      </c>
      <c r="C4589" s="61">
        <v>315903.69057967153</v>
      </c>
      <c r="D4589" s="102">
        <v>0.31994551725498543</v>
      </c>
    </row>
    <row r="4590" spans="2:4" x14ac:dyDescent="0.25">
      <c r="B4590" s="61">
        <v>4557</v>
      </c>
      <c r="C4590" s="61">
        <v>340194.87998690538</v>
      </c>
      <c r="D4590" s="102">
        <v>0.33079796197377576</v>
      </c>
    </row>
    <row r="4591" spans="2:4" x14ac:dyDescent="0.25">
      <c r="B4591" s="61">
        <v>4558</v>
      </c>
      <c r="C4591" s="61">
        <v>271697.72270400135</v>
      </c>
      <c r="D4591" s="102">
        <v>0.24511208091212211</v>
      </c>
    </row>
    <row r="4592" spans="2:4" x14ac:dyDescent="0.25">
      <c r="B4592" s="61">
        <v>4559</v>
      </c>
      <c r="C4592" s="61">
        <v>337529.6263440788</v>
      </c>
      <c r="D4592" s="102">
        <v>0.35331994588260973</v>
      </c>
    </row>
    <row r="4593" spans="2:4" x14ac:dyDescent="0.25">
      <c r="B4593" s="61">
        <v>4560</v>
      </c>
      <c r="C4593" s="61">
        <v>246940.08049254585</v>
      </c>
      <c r="D4593" s="102">
        <v>0.2771936116578162</v>
      </c>
    </row>
    <row r="4594" spans="2:4" x14ac:dyDescent="0.25">
      <c r="B4594" s="61">
        <v>4561</v>
      </c>
      <c r="C4594" s="61">
        <v>282155.30239985406</v>
      </c>
      <c r="D4594" s="102">
        <v>0.28379759106485292</v>
      </c>
    </row>
    <row r="4595" spans="2:4" x14ac:dyDescent="0.25">
      <c r="B4595" s="61">
        <v>4562</v>
      </c>
      <c r="C4595" s="61">
        <v>629002.36847162282</v>
      </c>
      <c r="D4595" s="102">
        <v>0.49190953635267687</v>
      </c>
    </row>
    <row r="4596" spans="2:4" x14ac:dyDescent="0.25">
      <c r="B4596" s="61">
        <v>4563</v>
      </c>
      <c r="C4596" s="61">
        <v>212259.25699155545</v>
      </c>
      <c r="D4596" s="102">
        <v>0.21144424414480212</v>
      </c>
    </row>
    <row r="4597" spans="2:4" x14ac:dyDescent="0.25">
      <c r="B4597" s="61">
        <v>4564</v>
      </c>
      <c r="C4597" s="61">
        <v>251623.78027837956</v>
      </c>
      <c r="D4597" s="102">
        <v>0.25998775953106601</v>
      </c>
    </row>
    <row r="4598" spans="2:4" x14ac:dyDescent="0.25">
      <c r="B4598" s="61">
        <v>4565</v>
      </c>
      <c r="C4598" s="61">
        <v>121914.9130163106</v>
      </c>
      <c r="D4598" s="102">
        <v>0.1593930627047333</v>
      </c>
    </row>
    <row r="4599" spans="2:4" x14ac:dyDescent="0.25">
      <c r="B4599" s="61">
        <v>4566</v>
      </c>
      <c r="C4599" s="61">
        <v>308955.53905567632</v>
      </c>
      <c r="D4599" s="102">
        <v>0.30113576346198911</v>
      </c>
    </row>
    <row r="4600" spans="2:4" x14ac:dyDescent="0.25">
      <c r="B4600" s="61">
        <v>4567</v>
      </c>
      <c r="C4600" s="61">
        <v>214044.2552343203</v>
      </c>
      <c r="D4600" s="102">
        <v>0.2168116854280373</v>
      </c>
    </row>
    <row r="4601" spans="2:4" x14ac:dyDescent="0.25">
      <c r="B4601" s="61">
        <v>4568</v>
      </c>
      <c r="C4601" s="61">
        <v>111822.20357275149</v>
      </c>
      <c r="D4601" s="102">
        <v>0.17294331682086939</v>
      </c>
    </row>
    <row r="4602" spans="2:4" x14ac:dyDescent="0.25">
      <c r="B4602" s="61">
        <v>4569</v>
      </c>
      <c r="C4602" s="61">
        <v>247191.0420189529</v>
      </c>
      <c r="D4602" s="102">
        <v>0.23846726780725769</v>
      </c>
    </row>
    <row r="4603" spans="2:4" x14ac:dyDescent="0.25">
      <c r="B4603" s="61">
        <v>4570</v>
      </c>
      <c r="C4603" s="61">
        <v>251793.9927551127</v>
      </c>
      <c r="D4603" s="102">
        <v>0.27334103487998607</v>
      </c>
    </row>
    <row r="4604" spans="2:4" x14ac:dyDescent="0.25">
      <c r="B4604" s="61">
        <v>4571</v>
      </c>
      <c r="C4604" s="61">
        <v>241325.69291979633</v>
      </c>
      <c r="D4604" s="102">
        <v>0.2901138535998613</v>
      </c>
    </row>
    <row r="4605" spans="2:4" x14ac:dyDescent="0.25">
      <c r="B4605" s="61">
        <v>4572</v>
      </c>
      <c r="C4605" s="61">
        <v>213279.69220063288</v>
      </c>
      <c r="D4605" s="102">
        <v>0.22812835343724336</v>
      </c>
    </row>
    <row r="4606" spans="2:4" x14ac:dyDescent="0.25">
      <c r="B4606" s="61">
        <v>4573</v>
      </c>
      <c r="C4606" s="61">
        <v>340614.76887742407</v>
      </c>
      <c r="D4606" s="102">
        <v>0.32266402926936522</v>
      </c>
    </row>
    <row r="4607" spans="2:4" x14ac:dyDescent="0.25">
      <c r="B4607" s="61">
        <v>4574</v>
      </c>
      <c r="C4607" s="61">
        <v>95130.104163434822</v>
      </c>
      <c r="D4607" s="102">
        <v>0.15439393753309028</v>
      </c>
    </row>
    <row r="4608" spans="2:4" x14ac:dyDescent="0.25">
      <c r="B4608" s="61">
        <v>4575</v>
      </c>
      <c r="C4608" s="61">
        <v>433843.1702119566</v>
      </c>
      <c r="D4608" s="102">
        <v>0.3288143214056729</v>
      </c>
    </row>
    <row r="4609" spans="2:4" x14ac:dyDescent="0.25">
      <c r="B4609" s="61">
        <v>4576</v>
      </c>
      <c r="C4609" s="61">
        <v>41167.683433375205</v>
      </c>
      <c r="D4609" s="102">
        <v>9.5016015380932073E-2</v>
      </c>
    </row>
    <row r="4610" spans="2:4" x14ac:dyDescent="0.25">
      <c r="B4610" s="61">
        <v>4577</v>
      </c>
      <c r="C4610" s="61">
        <v>99086.839540696063</v>
      </c>
      <c r="D4610" s="102">
        <v>0.13109929526731401</v>
      </c>
    </row>
    <row r="4611" spans="2:4" x14ac:dyDescent="0.25">
      <c r="B4611" s="61">
        <v>4578</v>
      </c>
      <c r="C4611" s="61">
        <v>265460.58669841732</v>
      </c>
      <c r="D4611" s="102">
        <v>0.27113656009655229</v>
      </c>
    </row>
    <row r="4612" spans="2:4" x14ac:dyDescent="0.25">
      <c r="B4612" s="61">
        <v>4579</v>
      </c>
      <c r="C4612" s="61">
        <v>277329.21344717429</v>
      </c>
      <c r="D4612" s="102">
        <v>0.34402271749984381</v>
      </c>
    </row>
    <row r="4613" spans="2:4" x14ac:dyDescent="0.25">
      <c r="B4613" s="61">
        <v>4580</v>
      </c>
      <c r="C4613" s="61">
        <v>323661.59739538177</v>
      </c>
      <c r="D4613" s="102">
        <v>0.32981056759746008</v>
      </c>
    </row>
    <row r="4614" spans="2:4" x14ac:dyDescent="0.25">
      <c r="B4614" s="61">
        <v>4581</v>
      </c>
      <c r="C4614" s="61">
        <v>180435.10688462609</v>
      </c>
      <c r="D4614" s="102">
        <v>0.19391699496869963</v>
      </c>
    </row>
    <row r="4615" spans="2:4" x14ac:dyDescent="0.25">
      <c r="B4615" s="61">
        <v>4582</v>
      </c>
      <c r="C4615" s="61">
        <v>358746.80802673392</v>
      </c>
      <c r="D4615" s="102">
        <v>0.30823155908237432</v>
      </c>
    </row>
    <row r="4616" spans="2:4" x14ac:dyDescent="0.25">
      <c r="B4616" s="61">
        <v>4583</v>
      </c>
      <c r="C4616" s="61">
        <v>74464.513898142497</v>
      </c>
      <c r="D4616" s="102">
        <v>0.13318308513191424</v>
      </c>
    </row>
    <row r="4617" spans="2:4" x14ac:dyDescent="0.25">
      <c r="B4617" s="61">
        <v>4584</v>
      </c>
      <c r="C4617" s="61">
        <v>169213.65576433332</v>
      </c>
      <c r="D4617" s="102">
        <v>0.20397420763394369</v>
      </c>
    </row>
    <row r="4618" spans="2:4" x14ac:dyDescent="0.25">
      <c r="B4618" s="61">
        <v>4585</v>
      </c>
      <c r="C4618" s="61">
        <v>193546.15247632412</v>
      </c>
      <c r="D4618" s="102">
        <v>0.19828596743424187</v>
      </c>
    </row>
    <row r="4619" spans="2:4" x14ac:dyDescent="0.25">
      <c r="B4619" s="61">
        <v>4586</v>
      </c>
      <c r="C4619" s="61">
        <v>286737.25114459964</v>
      </c>
      <c r="D4619" s="102">
        <v>0.26060472894765185</v>
      </c>
    </row>
    <row r="4620" spans="2:4" x14ac:dyDescent="0.25">
      <c r="B4620" s="61">
        <v>4587</v>
      </c>
      <c r="C4620" s="61">
        <v>242314.22040516254</v>
      </c>
      <c r="D4620" s="102">
        <v>0.25000095198873695</v>
      </c>
    </row>
    <row r="4621" spans="2:4" x14ac:dyDescent="0.25">
      <c r="B4621" s="61">
        <v>4588</v>
      </c>
      <c r="C4621" s="61">
        <v>175707.289995912</v>
      </c>
      <c r="D4621" s="102">
        <v>0.22608124101531102</v>
      </c>
    </row>
    <row r="4622" spans="2:4" x14ac:dyDescent="0.25">
      <c r="B4622" s="61">
        <v>4589</v>
      </c>
      <c r="C4622" s="61">
        <v>-3417.0640663130907</v>
      </c>
      <c r="D4622" s="102">
        <v>5.9454937446863365E-2</v>
      </c>
    </row>
    <row r="4623" spans="2:4" x14ac:dyDescent="0.25">
      <c r="B4623" s="61">
        <v>4590</v>
      </c>
      <c r="C4623" s="61">
        <v>342987.38313846255</v>
      </c>
      <c r="D4623" s="102">
        <v>0.25698905604992728</v>
      </c>
    </row>
    <row r="4624" spans="2:4" x14ac:dyDescent="0.25">
      <c r="B4624" s="61">
        <v>4591</v>
      </c>
      <c r="C4624" s="61">
        <v>121143.39595136821</v>
      </c>
      <c r="D4624" s="102">
        <v>0.20188049078004511</v>
      </c>
    </row>
    <row r="4625" spans="2:4" x14ac:dyDescent="0.25">
      <c r="B4625" s="61">
        <v>4592</v>
      </c>
      <c r="C4625" s="61">
        <v>97459.019585525675</v>
      </c>
      <c r="D4625" s="102">
        <v>0.12470743533165973</v>
      </c>
    </row>
    <row r="4626" spans="2:4" x14ac:dyDescent="0.25">
      <c r="B4626" s="61">
        <v>4593</v>
      </c>
      <c r="C4626" s="61">
        <v>171015.25402183027</v>
      </c>
      <c r="D4626" s="102">
        <v>0.24122537802191224</v>
      </c>
    </row>
    <row r="4627" spans="2:4" x14ac:dyDescent="0.25">
      <c r="B4627" s="61">
        <v>4594</v>
      </c>
      <c r="C4627" s="61">
        <v>305254.88825779501</v>
      </c>
      <c r="D4627" s="102">
        <v>0.32321138438755881</v>
      </c>
    </row>
    <row r="4628" spans="2:4" x14ac:dyDescent="0.25">
      <c r="B4628" s="61">
        <v>4595</v>
      </c>
      <c r="C4628" s="61">
        <v>290105.46967382997</v>
      </c>
      <c r="D4628" s="102">
        <v>0.29562673115673332</v>
      </c>
    </row>
    <row r="4629" spans="2:4" x14ac:dyDescent="0.25">
      <c r="B4629" s="61">
        <v>4596</v>
      </c>
      <c r="C4629" s="61">
        <v>234800.34397961013</v>
      </c>
      <c r="D4629" s="102">
        <v>0.30040271593281198</v>
      </c>
    </row>
    <row r="4630" spans="2:4" x14ac:dyDescent="0.25">
      <c r="B4630" s="61">
        <v>4597</v>
      </c>
      <c r="C4630" s="61">
        <v>327785.311830119</v>
      </c>
      <c r="D4630" s="102">
        <v>0.38262940753395669</v>
      </c>
    </row>
    <row r="4631" spans="2:4" x14ac:dyDescent="0.25">
      <c r="B4631" s="61">
        <v>4598</v>
      </c>
      <c r="C4631" s="61">
        <v>379486.17724664405</v>
      </c>
      <c r="D4631" s="102">
        <v>0.3606453989090368</v>
      </c>
    </row>
    <row r="4632" spans="2:4" x14ac:dyDescent="0.25">
      <c r="B4632" s="61">
        <v>4599</v>
      </c>
      <c r="C4632" s="61">
        <v>276408.67489519273</v>
      </c>
      <c r="D4632" s="102">
        <v>0.23372628890565972</v>
      </c>
    </row>
    <row r="4633" spans="2:4" x14ac:dyDescent="0.25">
      <c r="B4633" s="61">
        <v>4600</v>
      </c>
      <c r="C4633" s="61">
        <v>233494.24758460803</v>
      </c>
      <c r="D4633" s="102">
        <v>0.23073972087511918</v>
      </c>
    </row>
    <row r="4634" spans="2:4" x14ac:dyDescent="0.25">
      <c r="B4634" s="61">
        <v>4601</v>
      </c>
      <c r="C4634" s="61">
        <v>180429.67060691386</v>
      </c>
      <c r="D4634" s="102">
        <v>0.20388002194115917</v>
      </c>
    </row>
    <row r="4635" spans="2:4" x14ac:dyDescent="0.25">
      <c r="B4635" s="61">
        <v>4602</v>
      </c>
      <c r="C4635" s="61">
        <v>328249.76289936888</v>
      </c>
      <c r="D4635" s="102">
        <v>0.31314018178045289</v>
      </c>
    </row>
    <row r="4636" spans="2:4" x14ac:dyDescent="0.25">
      <c r="B4636" s="61">
        <v>4603</v>
      </c>
      <c r="C4636" s="61">
        <v>383301.14524378045</v>
      </c>
      <c r="D4636" s="102">
        <v>0.35586123109179857</v>
      </c>
    </row>
    <row r="4637" spans="2:4" x14ac:dyDescent="0.25">
      <c r="B4637" s="61">
        <v>4604</v>
      </c>
      <c r="C4637" s="61">
        <v>273469.84904384078</v>
      </c>
      <c r="D4637" s="102">
        <v>0.28689811687939604</v>
      </c>
    </row>
    <row r="4638" spans="2:4" x14ac:dyDescent="0.25">
      <c r="B4638" s="61">
        <v>4605</v>
      </c>
      <c r="C4638" s="61">
        <v>412944.53323138878</v>
      </c>
      <c r="D4638" s="102">
        <v>0.41538220618668653</v>
      </c>
    </row>
    <row r="4639" spans="2:4" x14ac:dyDescent="0.25">
      <c r="B4639" s="61">
        <v>4606</v>
      </c>
      <c r="C4639" s="61">
        <v>284456.31915682019</v>
      </c>
      <c r="D4639" s="102">
        <v>0.2729887461720728</v>
      </c>
    </row>
    <row r="4640" spans="2:4" x14ac:dyDescent="0.25">
      <c r="B4640" s="61">
        <v>4607</v>
      </c>
      <c r="C4640" s="61">
        <v>112820.72997119906</v>
      </c>
      <c r="D4640" s="102">
        <v>0.14888229734645786</v>
      </c>
    </row>
    <row r="4641" spans="2:4" x14ac:dyDescent="0.25">
      <c r="B4641" s="61">
        <v>4608</v>
      </c>
      <c r="C4641" s="61">
        <v>276042.04188103892</v>
      </c>
      <c r="D4641" s="102">
        <v>0.36018828542591486</v>
      </c>
    </row>
    <row r="4642" spans="2:4" x14ac:dyDescent="0.25">
      <c r="B4642" s="61">
        <v>4609</v>
      </c>
      <c r="C4642" s="61">
        <v>460019.26931693743</v>
      </c>
      <c r="D4642" s="102">
        <v>0.43868824365299153</v>
      </c>
    </row>
    <row r="4643" spans="2:4" x14ac:dyDescent="0.25">
      <c r="B4643" s="61">
        <v>4610</v>
      </c>
      <c r="C4643" s="61">
        <v>321694.25659370329</v>
      </c>
      <c r="D4643" s="102">
        <v>0.37735566036539114</v>
      </c>
    </row>
    <row r="4644" spans="2:4" x14ac:dyDescent="0.25">
      <c r="B4644" s="61">
        <v>4611</v>
      </c>
      <c r="C4644" s="61">
        <v>289159.96840927831</v>
      </c>
      <c r="D4644" s="102">
        <v>0.2548583080315725</v>
      </c>
    </row>
    <row r="4645" spans="2:4" x14ac:dyDescent="0.25">
      <c r="B4645" s="61">
        <v>4612</v>
      </c>
      <c r="C4645" s="61">
        <v>150434.88591543265</v>
      </c>
      <c r="D4645" s="102">
        <v>0.15217805123727568</v>
      </c>
    </row>
    <row r="4646" spans="2:4" x14ac:dyDescent="0.25">
      <c r="B4646" s="61">
        <v>4613</v>
      </c>
      <c r="C4646" s="61">
        <v>340621.2447923345</v>
      </c>
      <c r="D4646" s="102">
        <v>0.3060037397448947</v>
      </c>
    </row>
    <row r="4647" spans="2:4" x14ac:dyDescent="0.25">
      <c r="B4647" s="61">
        <v>4614</v>
      </c>
      <c r="C4647" s="61">
        <v>238911.25402944023</v>
      </c>
      <c r="D4647" s="102">
        <v>0.24999069741594226</v>
      </c>
    </row>
    <row r="4648" spans="2:4" x14ac:dyDescent="0.25">
      <c r="B4648" s="61">
        <v>4615</v>
      </c>
      <c r="C4648" s="61">
        <v>416340.69804605818</v>
      </c>
      <c r="D4648" s="102">
        <v>0.38985271890467388</v>
      </c>
    </row>
    <row r="4649" spans="2:4" x14ac:dyDescent="0.25">
      <c r="B4649" s="61">
        <v>4616</v>
      </c>
      <c r="C4649" s="61">
        <v>496685.28340134607</v>
      </c>
      <c r="D4649" s="102">
        <v>0.47124526557969704</v>
      </c>
    </row>
    <row r="4650" spans="2:4" x14ac:dyDescent="0.25">
      <c r="B4650" s="61">
        <v>4617</v>
      </c>
      <c r="C4650" s="61">
        <v>472223.61269596138</v>
      </c>
      <c r="D4650" s="102">
        <v>0.40788721360487123</v>
      </c>
    </row>
    <row r="4651" spans="2:4" x14ac:dyDescent="0.25">
      <c r="B4651" s="61">
        <v>4618</v>
      </c>
      <c r="C4651" s="61">
        <v>232889.13890272251</v>
      </c>
      <c r="D4651" s="102">
        <v>0.2207562660563327</v>
      </c>
    </row>
    <row r="4652" spans="2:4" x14ac:dyDescent="0.25">
      <c r="B4652" s="61">
        <v>4619</v>
      </c>
      <c r="C4652" s="61">
        <v>345043.50797977124</v>
      </c>
      <c r="D4652" s="102">
        <v>0.33077090982897706</v>
      </c>
    </row>
    <row r="4653" spans="2:4" x14ac:dyDescent="0.25">
      <c r="B4653" s="61">
        <v>4620</v>
      </c>
      <c r="C4653" s="61">
        <v>195271.07508887385</v>
      </c>
      <c r="D4653" s="102">
        <v>0.24832602026918837</v>
      </c>
    </row>
    <row r="4654" spans="2:4" x14ac:dyDescent="0.25">
      <c r="B4654" s="61">
        <v>4621</v>
      </c>
      <c r="C4654" s="61">
        <v>28442.164767282957</v>
      </c>
      <c r="D4654" s="102">
        <v>8.7638463396746413E-2</v>
      </c>
    </row>
    <row r="4655" spans="2:4" x14ac:dyDescent="0.25">
      <c r="B4655" s="61">
        <v>4622</v>
      </c>
      <c r="C4655" s="61">
        <v>358275.60609827016</v>
      </c>
      <c r="D4655" s="102">
        <v>0.31011439487894621</v>
      </c>
    </row>
    <row r="4656" spans="2:4" x14ac:dyDescent="0.25">
      <c r="B4656" s="61">
        <v>4623</v>
      </c>
      <c r="C4656" s="61">
        <v>295748.56746195967</v>
      </c>
      <c r="D4656" s="102">
        <v>0.27339410791866792</v>
      </c>
    </row>
    <row r="4657" spans="2:4" x14ac:dyDescent="0.25">
      <c r="B4657" s="61">
        <v>4624</v>
      </c>
      <c r="C4657" s="61">
        <v>252081.94574609923</v>
      </c>
      <c r="D4657" s="102">
        <v>0.27869379050370791</v>
      </c>
    </row>
    <row r="4658" spans="2:4" x14ac:dyDescent="0.25">
      <c r="B4658" s="61">
        <v>4625</v>
      </c>
      <c r="C4658" s="61">
        <v>349068.97936932452</v>
      </c>
      <c r="D4658" s="102">
        <v>0.39989422351102322</v>
      </c>
    </row>
    <row r="4659" spans="2:4" x14ac:dyDescent="0.25">
      <c r="B4659" s="61">
        <v>4626</v>
      </c>
      <c r="C4659" s="61">
        <v>278175.22100926272</v>
      </c>
      <c r="D4659" s="102">
        <v>0.2985710687712777</v>
      </c>
    </row>
    <row r="4660" spans="2:4" x14ac:dyDescent="0.25">
      <c r="B4660" s="61">
        <v>4627</v>
      </c>
      <c r="C4660" s="61">
        <v>275378.37161931337</v>
      </c>
      <c r="D4660" s="102">
        <v>0.27912521376367305</v>
      </c>
    </row>
    <row r="4661" spans="2:4" x14ac:dyDescent="0.25">
      <c r="B4661" s="61">
        <v>4628</v>
      </c>
      <c r="C4661" s="61">
        <v>369048.03872700385</v>
      </c>
      <c r="D4661" s="102">
        <v>0.39007829708224606</v>
      </c>
    </row>
    <row r="4662" spans="2:4" x14ac:dyDescent="0.25">
      <c r="B4662" s="61">
        <v>4629</v>
      </c>
      <c r="C4662" s="61">
        <v>393455.93985365937</v>
      </c>
      <c r="D4662" s="102">
        <v>0.39149452205841384</v>
      </c>
    </row>
    <row r="4663" spans="2:4" x14ac:dyDescent="0.25">
      <c r="B4663" s="61">
        <v>4630</v>
      </c>
      <c r="C4663" s="61">
        <v>558154.2644148313</v>
      </c>
      <c r="D4663" s="102">
        <v>0.50266679028201566</v>
      </c>
    </row>
    <row r="4664" spans="2:4" x14ac:dyDescent="0.25">
      <c r="B4664" s="61">
        <v>4631</v>
      </c>
      <c r="C4664" s="61">
        <v>217522.80349468125</v>
      </c>
      <c r="D4664" s="102">
        <v>0.22946564825380578</v>
      </c>
    </row>
    <row r="4665" spans="2:4" x14ac:dyDescent="0.25">
      <c r="B4665" s="61">
        <v>4632</v>
      </c>
      <c r="C4665" s="61">
        <v>312493.73720186297</v>
      </c>
      <c r="D4665" s="102">
        <v>0.35891349467746925</v>
      </c>
    </row>
    <row r="4666" spans="2:4" x14ac:dyDescent="0.25">
      <c r="B4666" s="61">
        <v>4633</v>
      </c>
      <c r="C4666" s="61">
        <v>512376.76702197385</v>
      </c>
      <c r="D4666" s="102">
        <v>0.41175655157316937</v>
      </c>
    </row>
    <row r="4667" spans="2:4" x14ac:dyDescent="0.25">
      <c r="B4667" s="61">
        <v>4634</v>
      </c>
      <c r="C4667" s="61">
        <v>194260.07800757501</v>
      </c>
      <c r="D4667" s="102">
        <v>0.24481671831992347</v>
      </c>
    </row>
    <row r="4668" spans="2:4" x14ac:dyDescent="0.25">
      <c r="B4668" s="61">
        <v>4635</v>
      </c>
      <c r="C4668" s="61">
        <v>155363.16700835008</v>
      </c>
      <c r="D4668" s="102">
        <v>0.1685603714745576</v>
      </c>
    </row>
    <row r="4669" spans="2:4" x14ac:dyDescent="0.25">
      <c r="B4669" s="61">
        <v>4636</v>
      </c>
      <c r="C4669" s="61">
        <v>91871.326021688525</v>
      </c>
      <c r="D4669" s="102">
        <v>0.12786612200850267</v>
      </c>
    </row>
    <row r="4670" spans="2:4" x14ac:dyDescent="0.25">
      <c r="B4670" s="61">
        <v>4637</v>
      </c>
      <c r="C4670" s="61">
        <v>320689.3129605694</v>
      </c>
      <c r="D4670" s="102">
        <v>0.29802262648394739</v>
      </c>
    </row>
    <row r="4671" spans="2:4" x14ac:dyDescent="0.25">
      <c r="B4671" s="61">
        <v>4638</v>
      </c>
      <c r="C4671" s="61">
        <v>417135.45547365886</v>
      </c>
      <c r="D4671" s="102">
        <v>0.36778290873744846</v>
      </c>
    </row>
    <row r="4672" spans="2:4" x14ac:dyDescent="0.25">
      <c r="B4672" s="61">
        <v>4639</v>
      </c>
      <c r="C4672" s="61">
        <v>301512.2291536564</v>
      </c>
      <c r="D4672" s="102">
        <v>0.29460725281864719</v>
      </c>
    </row>
    <row r="4673" spans="2:4" x14ac:dyDescent="0.25">
      <c r="B4673" s="61">
        <v>4640</v>
      </c>
      <c r="C4673" s="61">
        <v>295698.37363471056</v>
      </c>
      <c r="D4673" s="102">
        <v>0.30894826791410668</v>
      </c>
    </row>
    <row r="4674" spans="2:4" x14ac:dyDescent="0.25">
      <c r="B4674" s="61">
        <v>4641</v>
      </c>
      <c r="C4674" s="61">
        <v>60168.605029126164</v>
      </c>
      <c r="D4674" s="102">
        <v>0.11268769244886956</v>
      </c>
    </row>
    <row r="4675" spans="2:4" x14ac:dyDescent="0.25">
      <c r="B4675" s="61">
        <v>4642</v>
      </c>
      <c r="C4675" s="61">
        <v>182474.533202825</v>
      </c>
      <c r="D4675" s="102">
        <v>0.18472785191171659</v>
      </c>
    </row>
    <row r="4676" spans="2:4" x14ac:dyDescent="0.25">
      <c r="B4676" s="61">
        <v>4643</v>
      </c>
      <c r="C4676" s="61">
        <v>303200.54869888979</v>
      </c>
      <c r="D4676" s="102">
        <v>0.2646080157690518</v>
      </c>
    </row>
    <row r="4677" spans="2:4" x14ac:dyDescent="0.25">
      <c r="B4677" s="61">
        <v>4644</v>
      </c>
      <c r="C4677" s="61">
        <v>453718.31916806707</v>
      </c>
      <c r="D4677" s="102">
        <v>0.40821199562682486</v>
      </c>
    </row>
    <row r="4678" spans="2:4" x14ac:dyDescent="0.25">
      <c r="B4678" s="61">
        <v>4645</v>
      </c>
      <c r="C4678" s="61">
        <v>347875.95191792888</v>
      </c>
      <c r="D4678" s="102">
        <v>0.30118693705900124</v>
      </c>
    </row>
    <row r="4679" spans="2:4" x14ac:dyDescent="0.25">
      <c r="B4679" s="61">
        <v>4646</v>
      </c>
      <c r="C4679" s="61">
        <v>-127154.94632243825</v>
      </c>
      <c r="D4679" s="102">
        <v>-0.1250957542342197</v>
      </c>
    </row>
    <row r="4680" spans="2:4" x14ac:dyDescent="0.25">
      <c r="B4680" s="61">
        <v>4647</v>
      </c>
      <c r="C4680" s="61">
        <v>293284.66491202463</v>
      </c>
      <c r="D4680" s="102">
        <v>0.33555435283047963</v>
      </c>
    </row>
    <row r="4681" spans="2:4" x14ac:dyDescent="0.25">
      <c r="B4681" s="61">
        <v>4648</v>
      </c>
      <c r="C4681" s="61">
        <v>99168.768833948125</v>
      </c>
      <c r="D4681" s="102">
        <v>0.13986084763001005</v>
      </c>
    </row>
    <row r="4682" spans="2:4" x14ac:dyDescent="0.25">
      <c r="B4682" s="61">
        <v>4649</v>
      </c>
      <c r="C4682" s="61">
        <v>224195.73114713712</v>
      </c>
      <c r="D4682" s="102">
        <v>0.20792699652677205</v>
      </c>
    </row>
    <row r="4683" spans="2:4" x14ac:dyDescent="0.25">
      <c r="B4683" s="61">
        <v>4650</v>
      </c>
      <c r="C4683" s="61">
        <v>390164.9532914114</v>
      </c>
      <c r="D4683" s="102">
        <v>0.32695492542408089</v>
      </c>
    </row>
    <row r="4684" spans="2:4" x14ac:dyDescent="0.25">
      <c r="B4684" s="61">
        <v>4651</v>
      </c>
      <c r="C4684" s="61">
        <v>510529.91354497278</v>
      </c>
      <c r="D4684" s="102">
        <v>0.42617557026597042</v>
      </c>
    </row>
    <row r="4685" spans="2:4" x14ac:dyDescent="0.25">
      <c r="B4685" s="61">
        <v>4652</v>
      </c>
      <c r="C4685" s="61">
        <v>277083.00931261585</v>
      </c>
      <c r="D4685" s="102">
        <v>0.26242072028369412</v>
      </c>
    </row>
    <row r="4686" spans="2:4" x14ac:dyDescent="0.25">
      <c r="B4686" s="61">
        <v>4653</v>
      </c>
      <c r="C4686" s="61">
        <v>-22549.54271721543</v>
      </c>
      <c r="D4686" s="102">
        <v>4.433614540538966E-2</v>
      </c>
    </row>
    <row r="4687" spans="2:4" x14ac:dyDescent="0.25">
      <c r="B4687" s="61">
        <v>4654</v>
      </c>
      <c r="C4687" s="61">
        <v>341360.87731446989</v>
      </c>
      <c r="D4687" s="102">
        <v>0.46928614622255882</v>
      </c>
    </row>
    <row r="4688" spans="2:4" x14ac:dyDescent="0.25">
      <c r="B4688" s="61">
        <v>4655</v>
      </c>
      <c r="C4688" s="61">
        <v>301630.33671608148</v>
      </c>
      <c r="D4688" s="102">
        <v>0.30798265769543343</v>
      </c>
    </row>
    <row r="4689" spans="2:4" x14ac:dyDescent="0.25">
      <c r="B4689" s="61">
        <v>4656</v>
      </c>
      <c r="C4689" s="61">
        <v>293994.34783493518</v>
      </c>
      <c r="D4689" s="102">
        <v>0.27898096635213765</v>
      </c>
    </row>
    <row r="4690" spans="2:4" x14ac:dyDescent="0.25">
      <c r="B4690" s="61">
        <v>4657</v>
      </c>
      <c r="C4690" s="61">
        <v>232082.36562481301</v>
      </c>
      <c r="D4690" s="102">
        <v>0.23661890383200856</v>
      </c>
    </row>
    <row r="4691" spans="2:4" x14ac:dyDescent="0.25">
      <c r="B4691" s="61">
        <v>4658</v>
      </c>
      <c r="C4691" s="61">
        <v>437805.11692818732</v>
      </c>
      <c r="D4691" s="102">
        <v>0.38639784972295987</v>
      </c>
    </row>
    <row r="4692" spans="2:4" x14ac:dyDescent="0.25">
      <c r="B4692" s="61">
        <v>4659</v>
      </c>
      <c r="C4692" s="61">
        <v>154562.85324802616</v>
      </c>
      <c r="D4692" s="102">
        <v>0.18160503819215568</v>
      </c>
    </row>
    <row r="4693" spans="2:4" x14ac:dyDescent="0.25">
      <c r="B4693" s="61">
        <v>4660</v>
      </c>
      <c r="C4693" s="61">
        <v>337764.67509494105</v>
      </c>
      <c r="D4693" s="102">
        <v>0.29025411927873401</v>
      </c>
    </row>
    <row r="4694" spans="2:4" x14ac:dyDescent="0.25">
      <c r="B4694" s="61">
        <v>4661</v>
      </c>
      <c r="C4694" s="61">
        <v>433624.00376097264</v>
      </c>
      <c r="D4694" s="102">
        <v>0.3586567010238515</v>
      </c>
    </row>
    <row r="4695" spans="2:4" x14ac:dyDescent="0.25">
      <c r="B4695" s="61">
        <v>4662</v>
      </c>
      <c r="C4695" s="61">
        <v>310917.17679169262</v>
      </c>
      <c r="D4695" s="102">
        <v>0.24002281479897891</v>
      </c>
    </row>
    <row r="4696" spans="2:4" x14ac:dyDescent="0.25">
      <c r="B4696" s="61">
        <v>4663</v>
      </c>
      <c r="C4696" s="61">
        <v>252999.46647321817</v>
      </c>
      <c r="D4696" s="102">
        <v>0.29916846098687278</v>
      </c>
    </row>
    <row r="4697" spans="2:4" x14ac:dyDescent="0.25">
      <c r="B4697" s="61">
        <v>4664</v>
      </c>
      <c r="C4697" s="61">
        <v>526691.53145065648</v>
      </c>
      <c r="D4697" s="102">
        <v>0.45602508045797063</v>
      </c>
    </row>
    <row r="4698" spans="2:4" x14ac:dyDescent="0.25">
      <c r="B4698" s="61">
        <v>4665</v>
      </c>
      <c r="C4698" s="61">
        <v>145548.45873142802</v>
      </c>
      <c r="D4698" s="102">
        <v>0.17111354371216558</v>
      </c>
    </row>
    <row r="4699" spans="2:4" x14ac:dyDescent="0.25">
      <c r="B4699" s="61">
        <v>4666</v>
      </c>
      <c r="C4699" s="61">
        <v>153074.77542222221</v>
      </c>
      <c r="D4699" s="102">
        <v>0.17948288664437539</v>
      </c>
    </row>
    <row r="4700" spans="2:4" x14ac:dyDescent="0.25">
      <c r="B4700" s="61">
        <v>4667</v>
      </c>
      <c r="C4700" s="61">
        <v>446153.15135154093</v>
      </c>
      <c r="D4700" s="102">
        <v>0.41371708816181818</v>
      </c>
    </row>
    <row r="4701" spans="2:4" x14ac:dyDescent="0.25">
      <c r="B4701" s="61">
        <v>4668</v>
      </c>
      <c r="C4701" s="61">
        <v>156461.44645025098</v>
      </c>
      <c r="D4701" s="102">
        <v>0.20425176681837964</v>
      </c>
    </row>
    <row r="4702" spans="2:4" x14ac:dyDescent="0.25">
      <c r="B4702" s="61">
        <v>4669</v>
      </c>
      <c r="C4702" s="61">
        <v>159443.26014355535</v>
      </c>
      <c r="D4702" s="102">
        <v>0.17190984492026851</v>
      </c>
    </row>
    <row r="4703" spans="2:4" x14ac:dyDescent="0.25">
      <c r="B4703" s="61">
        <v>4670</v>
      </c>
      <c r="C4703" s="61">
        <v>203029.05685781897</v>
      </c>
      <c r="D4703" s="102">
        <v>0.189851675408367</v>
      </c>
    </row>
    <row r="4704" spans="2:4" x14ac:dyDescent="0.25">
      <c r="B4704" s="61">
        <v>4671</v>
      </c>
      <c r="C4704" s="61">
        <v>219276.68753720901</v>
      </c>
      <c r="D4704" s="102">
        <v>0.2138318895786735</v>
      </c>
    </row>
    <row r="4705" spans="2:4" x14ac:dyDescent="0.25">
      <c r="B4705" s="61">
        <v>4672</v>
      </c>
      <c r="C4705" s="61">
        <v>292216.41119467316</v>
      </c>
      <c r="D4705" s="102">
        <v>0.26769420875608474</v>
      </c>
    </row>
    <row r="4706" spans="2:4" x14ac:dyDescent="0.25">
      <c r="B4706" s="61">
        <v>4673</v>
      </c>
      <c r="C4706" s="61">
        <v>419027.70642386738</v>
      </c>
      <c r="D4706" s="102">
        <v>0.38132407054568973</v>
      </c>
    </row>
    <row r="4707" spans="2:4" x14ac:dyDescent="0.25">
      <c r="B4707" s="61">
        <v>4674</v>
      </c>
      <c r="C4707" s="61">
        <v>246556.86968061037</v>
      </c>
      <c r="D4707" s="102">
        <v>0.20342766174777416</v>
      </c>
    </row>
    <row r="4708" spans="2:4" x14ac:dyDescent="0.25">
      <c r="B4708" s="61">
        <v>4675</v>
      </c>
      <c r="C4708" s="61">
        <v>264278.32481285452</v>
      </c>
      <c r="D4708" s="102">
        <v>0.3054205409130295</v>
      </c>
    </row>
    <row r="4709" spans="2:4" x14ac:dyDescent="0.25">
      <c r="B4709" s="61">
        <v>4676</v>
      </c>
      <c r="C4709" s="61">
        <v>224781.06440101052</v>
      </c>
      <c r="D4709" s="102">
        <v>0.23344434260170499</v>
      </c>
    </row>
    <row r="4710" spans="2:4" x14ac:dyDescent="0.25">
      <c r="B4710" s="61">
        <v>4677</v>
      </c>
      <c r="C4710" s="61">
        <v>302483.12602425134</v>
      </c>
      <c r="D4710" s="102">
        <v>0.27314173147086018</v>
      </c>
    </row>
    <row r="4711" spans="2:4" x14ac:dyDescent="0.25">
      <c r="B4711" s="61">
        <v>4678</v>
      </c>
      <c r="C4711" s="61">
        <v>151704.41629357386</v>
      </c>
      <c r="D4711" s="102">
        <v>0.18680334880759775</v>
      </c>
    </row>
    <row r="4712" spans="2:4" x14ac:dyDescent="0.25">
      <c r="B4712" s="61">
        <v>4679</v>
      </c>
      <c r="C4712" s="61">
        <v>245996.65361584618</v>
      </c>
      <c r="D4712" s="102">
        <v>0.27023206260739352</v>
      </c>
    </row>
    <row r="4713" spans="2:4" x14ac:dyDescent="0.25">
      <c r="B4713" s="61">
        <v>4680</v>
      </c>
      <c r="C4713" s="61">
        <v>190006.5022283342</v>
      </c>
      <c r="D4713" s="102">
        <v>0.19069818873160771</v>
      </c>
    </row>
    <row r="4714" spans="2:4" x14ac:dyDescent="0.25">
      <c r="B4714" s="61">
        <v>4681</v>
      </c>
      <c r="C4714" s="61">
        <v>310800.60839536868</v>
      </c>
      <c r="D4714" s="102">
        <v>0.23136330381193582</v>
      </c>
    </row>
    <row r="4715" spans="2:4" x14ac:dyDescent="0.25">
      <c r="B4715" s="61">
        <v>4682</v>
      </c>
      <c r="C4715" s="61">
        <v>333148.58126118232</v>
      </c>
      <c r="D4715" s="102">
        <v>0.31978582989818394</v>
      </c>
    </row>
    <row r="4716" spans="2:4" x14ac:dyDescent="0.25">
      <c r="B4716" s="61">
        <v>4683</v>
      </c>
      <c r="C4716" s="61">
        <v>290182.31841858581</v>
      </c>
      <c r="D4716" s="102">
        <v>0.27034407874458655</v>
      </c>
    </row>
    <row r="4717" spans="2:4" x14ac:dyDescent="0.25">
      <c r="B4717" s="61">
        <v>4684</v>
      </c>
      <c r="C4717" s="61">
        <v>361336.74254950322</v>
      </c>
      <c r="D4717" s="102">
        <v>0.29789609792567795</v>
      </c>
    </row>
    <row r="4718" spans="2:4" x14ac:dyDescent="0.25">
      <c r="B4718" s="61">
        <v>4685</v>
      </c>
      <c r="C4718" s="61">
        <v>91636.000616612146</v>
      </c>
      <c r="D4718" s="102">
        <v>0.14125451856206173</v>
      </c>
    </row>
    <row r="4719" spans="2:4" x14ac:dyDescent="0.25">
      <c r="B4719" s="61">
        <v>4686</v>
      </c>
      <c r="C4719" s="61">
        <v>275441.33102813794</v>
      </c>
      <c r="D4719" s="102">
        <v>0.34411432372466177</v>
      </c>
    </row>
    <row r="4720" spans="2:4" x14ac:dyDescent="0.25">
      <c r="B4720" s="61">
        <v>4687</v>
      </c>
      <c r="C4720" s="61">
        <v>389788.34743740899</v>
      </c>
      <c r="D4720" s="102">
        <v>0.34458653270475237</v>
      </c>
    </row>
    <row r="4721" spans="2:4" x14ac:dyDescent="0.25">
      <c r="B4721" s="61">
        <v>4688</v>
      </c>
      <c r="C4721" s="61">
        <v>354166.77312245069</v>
      </c>
      <c r="D4721" s="102">
        <v>0.34508371222330059</v>
      </c>
    </row>
    <row r="4722" spans="2:4" x14ac:dyDescent="0.25">
      <c r="B4722" s="61">
        <v>4689</v>
      </c>
      <c r="C4722" s="61">
        <v>120215.31987894577</v>
      </c>
      <c r="D4722" s="102">
        <v>0.15748559239436632</v>
      </c>
    </row>
    <row r="4723" spans="2:4" x14ac:dyDescent="0.25">
      <c r="B4723" s="61">
        <v>4690</v>
      </c>
      <c r="C4723" s="61">
        <v>38001.796477913798</v>
      </c>
      <c r="D4723" s="102">
        <v>9.1024530621045097E-2</v>
      </c>
    </row>
    <row r="4724" spans="2:4" x14ac:dyDescent="0.25">
      <c r="B4724" s="61">
        <v>4691</v>
      </c>
      <c r="C4724" s="61">
        <v>245454.94177528855</v>
      </c>
      <c r="D4724" s="102">
        <v>0.23451409711186311</v>
      </c>
    </row>
    <row r="4725" spans="2:4" x14ac:dyDescent="0.25">
      <c r="B4725" s="61">
        <v>4692</v>
      </c>
      <c r="C4725" s="61">
        <v>449061.01327155973</v>
      </c>
      <c r="D4725" s="102">
        <v>0.37014843092454797</v>
      </c>
    </row>
    <row r="4726" spans="2:4" x14ac:dyDescent="0.25">
      <c r="B4726" s="61">
        <v>4693</v>
      </c>
      <c r="C4726" s="61">
        <v>230302.48735932715</v>
      </c>
      <c r="D4726" s="102">
        <v>0.24749211248548098</v>
      </c>
    </row>
    <row r="4727" spans="2:4" x14ac:dyDescent="0.25">
      <c r="B4727" s="61">
        <v>4694</v>
      </c>
      <c r="C4727" s="61">
        <v>201397.91611361038</v>
      </c>
      <c r="D4727" s="102">
        <v>0.21792894050676526</v>
      </c>
    </row>
    <row r="4728" spans="2:4" x14ac:dyDescent="0.25">
      <c r="B4728" s="61">
        <v>4695</v>
      </c>
      <c r="C4728" s="61">
        <v>180385.99440041557</v>
      </c>
      <c r="D4728" s="102">
        <v>0.2017514787350958</v>
      </c>
    </row>
    <row r="4729" spans="2:4" x14ac:dyDescent="0.25">
      <c r="B4729" s="61">
        <v>4696</v>
      </c>
      <c r="C4729" s="61">
        <v>412179.20472350961</v>
      </c>
      <c r="D4729" s="102">
        <v>0.48921986253384708</v>
      </c>
    </row>
    <row r="4730" spans="2:4" x14ac:dyDescent="0.25">
      <c r="B4730" s="61">
        <v>4697</v>
      </c>
      <c r="C4730" s="61">
        <v>218137.44099990919</v>
      </c>
      <c r="D4730" s="102">
        <v>0.23072189741527138</v>
      </c>
    </row>
    <row r="4731" spans="2:4" x14ac:dyDescent="0.25">
      <c r="B4731" s="61">
        <v>4698</v>
      </c>
      <c r="C4731" s="61">
        <v>328401.64968888846</v>
      </c>
      <c r="D4731" s="102">
        <v>0.3064800294622545</v>
      </c>
    </row>
    <row r="4732" spans="2:4" x14ac:dyDescent="0.25">
      <c r="B4732" s="61">
        <v>4699</v>
      </c>
      <c r="C4732" s="61">
        <v>278520.2224635015</v>
      </c>
      <c r="D4732" s="102">
        <v>0.32531214022839161</v>
      </c>
    </row>
    <row r="4733" spans="2:4" x14ac:dyDescent="0.25">
      <c r="B4733" s="61">
        <v>4700</v>
      </c>
      <c r="C4733" s="61">
        <v>20263.261027336004</v>
      </c>
      <c r="D4733" s="102">
        <v>7.8191288625212518E-2</v>
      </c>
    </row>
    <row r="4734" spans="2:4" x14ac:dyDescent="0.25">
      <c r="B4734" s="61">
        <v>4701</v>
      </c>
      <c r="C4734" s="61">
        <v>211841.03048055503</v>
      </c>
      <c r="D4734" s="102">
        <v>0.23204895465531528</v>
      </c>
    </row>
    <row r="4735" spans="2:4" x14ac:dyDescent="0.25">
      <c r="B4735" s="61">
        <v>4702</v>
      </c>
      <c r="C4735" s="61">
        <v>184858.90467673738</v>
      </c>
      <c r="D4735" s="102">
        <v>0.2113274942160257</v>
      </c>
    </row>
    <row r="4736" spans="2:4" x14ac:dyDescent="0.25">
      <c r="B4736" s="61">
        <v>4703</v>
      </c>
      <c r="C4736" s="61">
        <v>272660.51132201485</v>
      </c>
      <c r="D4736" s="102">
        <v>0.29778889743193626</v>
      </c>
    </row>
    <row r="4737" spans="2:4" x14ac:dyDescent="0.25">
      <c r="B4737" s="61">
        <v>4704</v>
      </c>
      <c r="C4737" s="61">
        <v>365949.10180654458</v>
      </c>
      <c r="D4737" s="102">
        <v>0.36275556108491802</v>
      </c>
    </row>
    <row r="4738" spans="2:4" x14ac:dyDescent="0.25">
      <c r="B4738" s="61">
        <v>4705</v>
      </c>
      <c r="C4738" s="61">
        <v>338462.37160862621</v>
      </c>
      <c r="D4738" s="102">
        <v>0.26077852808304791</v>
      </c>
    </row>
    <row r="4739" spans="2:4" x14ac:dyDescent="0.25">
      <c r="B4739" s="61">
        <v>4706</v>
      </c>
      <c r="C4739" s="61">
        <v>15937.825327033235</v>
      </c>
      <c r="D4739" s="102">
        <v>7.7868347224306023E-2</v>
      </c>
    </row>
    <row r="4740" spans="2:4" x14ac:dyDescent="0.25">
      <c r="B4740" s="61">
        <v>4707</v>
      </c>
      <c r="C4740" s="61">
        <v>854.9930251777987</v>
      </c>
      <c r="D4740" s="102">
        <v>6.4022223791451394E-2</v>
      </c>
    </row>
    <row r="4741" spans="2:4" x14ac:dyDescent="0.25">
      <c r="B4741" s="61">
        <v>4708</v>
      </c>
      <c r="C4741" s="61">
        <v>170353.59276864841</v>
      </c>
      <c r="D4741" s="102">
        <v>0.19965387108744315</v>
      </c>
    </row>
    <row r="4742" spans="2:4" x14ac:dyDescent="0.25">
      <c r="B4742" s="61">
        <v>4709</v>
      </c>
      <c r="C4742" s="61">
        <v>180903.04882111377</v>
      </c>
      <c r="D4742" s="102">
        <v>0.20818986674313078</v>
      </c>
    </row>
    <row r="4743" spans="2:4" x14ac:dyDescent="0.25">
      <c r="B4743" s="61">
        <v>4710</v>
      </c>
      <c r="C4743" s="61">
        <v>272571.40474738297</v>
      </c>
      <c r="D4743" s="102">
        <v>0.28530260228755955</v>
      </c>
    </row>
    <row r="4744" spans="2:4" x14ac:dyDescent="0.25">
      <c r="B4744" s="61">
        <v>4711</v>
      </c>
      <c r="C4744" s="61">
        <v>435581.27870311798</v>
      </c>
      <c r="D4744" s="102">
        <v>0.3430112007070123</v>
      </c>
    </row>
    <row r="4745" spans="2:4" x14ac:dyDescent="0.25">
      <c r="B4745" s="61">
        <v>4712</v>
      </c>
      <c r="C4745" s="61">
        <v>438003.04590258363</v>
      </c>
      <c r="D4745" s="102">
        <v>0.39252698318330803</v>
      </c>
    </row>
    <row r="4746" spans="2:4" x14ac:dyDescent="0.25">
      <c r="B4746" s="61">
        <v>4713</v>
      </c>
      <c r="C4746" s="61">
        <v>237488.68149635987</v>
      </c>
      <c r="D4746" s="102">
        <v>0.22408495159729624</v>
      </c>
    </row>
    <row r="4747" spans="2:4" x14ac:dyDescent="0.25">
      <c r="B4747" s="61">
        <v>4714</v>
      </c>
      <c r="C4747" s="61">
        <v>266152.82670959795</v>
      </c>
      <c r="D4747" s="102">
        <v>0.25021972542667736</v>
      </c>
    </row>
    <row r="4748" spans="2:4" x14ac:dyDescent="0.25">
      <c r="B4748" s="61">
        <v>4715</v>
      </c>
      <c r="C4748" s="61">
        <v>411131.45802806481</v>
      </c>
      <c r="D4748" s="102">
        <v>0.34868611061059451</v>
      </c>
    </row>
    <row r="4749" spans="2:4" x14ac:dyDescent="0.25">
      <c r="B4749" s="61">
        <v>4716</v>
      </c>
      <c r="C4749" s="61">
        <v>430083.35864780226</v>
      </c>
      <c r="D4749" s="102">
        <v>0.43706770375680803</v>
      </c>
    </row>
    <row r="4750" spans="2:4" x14ac:dyDescent="0.25">
      <c r="B4750" s="61">
        <v>4717</v>
      </c>
      <c r="C4750" s="61">
        <v>109545.0409533825</v>
      </c>
      <c r="D4750" s="102">
        <v>0.14666048348221628</v>
      </c>
    </row>
    <row r="4751" spans="2:4" x14ac:dyDescent="0.25">
      <c r="B4751" s="61">
        <v>4718</v>
      </c>
      <c r="C4751" s="61">
        <v>311056.77200433309</v>
      </c>
      <c r="D4751" s="102">
        <v>0.32718515611167565</v>
      </c>
    </row>
    <row r="4752" spans="2:4" x14ac:dyDescent="0.25">
      <c r="B4752" s="61">
        <v>4719</v>
      </c>
      <c r="C4752" s="61">
        <v>434173.38007442409</v>
      </c>
      <c r="D4752" s="102">
        <v>0.35469382607745303</v>
      </c>
    </row>
    <row r="4753" spans="2:4" x14ac:dyDescent="0.25">
      <c r="B4753" s="61">
        <v>4720</v>
      </c>
      <c r="C4753" s="61">
        <v>159250.12869906187</v>
      </c>
      <c r="D4753" s="102">
        <v>0.19692668465590124</v>
      </c>
    </row>
    <row r="4754" spans="2:4" x14ac:dyDescent="0.25">
      <c r="B4754" s="61">
        <v>4721</v>
      </c>
      <c r="C4754" s="61">
        <v>-24878.302640408685</v>
      </c>
      <c r="D4754" s="102">
        <v>3.8973759374912653E-2</v>
      </c>
    </row>
    <row r="4755" spans="2:4" x14ac:dyDescent="0.25">
      <c r="B4755" s="61">
        <v>4722</v>
      </c>
      <c r="C4755" s="61">
        <v>179486.52333838912</v>
      </c>
      <c r="D4755" s="102">
        <v>0.20062236195384653</v>
      </c>
    </row>
    <row r="4756" spans="2:4" x14ac:dyDescent="0.25">
      <c r="B4756" s="61">
        <v>4723</v>
      </c>
      <c r="C4756" s="61">
        <v>223281.04963081714</v>
      </c>
      <c r="D4756" s="102">
        <v>0.27193480323214492</v>
      </c>
    </row>
    <row r="4757" spans="2:4" x14ac:dyDescent="0.25">
      <c r="B4757" s="61">
        <v>4724</v>
      </c>
      <c r="C4757" s="61">
        <v>143956.77152488398</v>
      </c>
      <c r="D4757" s="102">
        <v>0.18438823233495705</v>
      </c>
    </row>
    <row r="4758" spans="2:4" x14ac:dyDescent="0.25">
      <c r="B4758" s="61">
        <v>4725</v>
      </c>
      <c r="C4758" s="61">
        <v>323948.22169696109</v>
      </c>
      <c r="D4758" s="102">
        <v>0.35436312157865135</v>
      </c>
    </row>
    <row r="4759" spans="2:4" x14ac:dyDescent="0.25">
      <c r="B4759" s="61">
        <v>4726</v>
      </c>
      <c r="C4759" s="61">
        <v>384183.064007901</v>
      </c>
      <c r="D4759" s="102">
        <v>0.3383455104414097</v>
      </c>
    </row>
    <row r="4760" spans="2:4" x14ac:dyDescent="0.25">
      <c r="B4760" s="61">
        <v>4727</v>
      </c>
      <c r="C4760" s="61">
        <v>232284.23123277782</v>
      </c>
      <c r="D4760" s="102">
        <v>0.22351450560751296</v>
      </c>
    </row>
    <row r="4761" spans="2:4" x14ac:dyDescent="0.25">
      <c r="B4761" s="61">
        <v>4728</v>
      </c>
      <c r="C4761" s="61">
        <v>288885.00341571181</v>
      </c>
      <c r="D4761" s="102">
        <v>0.25800057907384089</v>
      </c>
    </row>
    <row r="4762" spans="2:4" x14ac:dyDescent="0.25">
      <c r="B4762" s="61">
        <v>4729</v>
      </c>
      <c r="C4762" s="61">
        <v>176156.90195951471</v>
      </c>
      <c r="D4762" s="102">
        <v>0.19695000039347499</v>
      </c>
    </row>
    <row r="4763" spans="2:4" x14ac:dyDescent="0.25">
      <c r="B4763" s="61">
        <v>4730</v>
      </c>
      <c r="C4763" s="61">
        <v>223258.35935543431</v>
      </c>
      <c r="D4763" s="102">
        <v>0.25381665480850479</v>
      </c>
    </row>
    <row r="4764" spans="2:4" x14ac:dyDescent="0.25">
      <c r="B4764" s="61">
        <v>4731</v>
      </c>
      <c r="C4764" s="61">
        <v>167454.96073590149</v>
      </c>
      <c r="D4764" s="102">
        <v>0.2164077206231021</v>
      </c>
    </row>
    <row r="4765" spans="2:4" x14ac:dyDescent="0.25">
      <c r="B4765" s="61">
        <v>4732</v>
      </c>
      <c r="C4765" s="61">
        <v>198368.73564809875</v>
      </c>
      <c r="D4765" s="102">
        <v>0.21833676469014129</v>
      </c>
    </row>
    <row r="4766" spans="2:4" x14ac:dyDescent="0.25">
      <c r="B4766" s="61">
        <v>4733</v>
      </c>
      <c r="C4766" s="61">
        <v>134447.15791085607</v>
      </c>
      <c r="D4766" s="102">
        <v>0.25743524859725619</v>
      </c>
    </row>
    <row r="4767" spans="2:4" x14ac:dyDescent="0.25">
      <c r="B4767" s="61">
        <v>4734</v>
      </c>
      <c r="C4767" s="61">
        <v>369738.85845168761</v>
      </c>
      <c r="D4767" s="102">
        <v>0.33242044057648901</v>
      </c>
    </row>
    <row r="4768" spans="2:4" x14ac:dyDescent="0.25">
      <c r="B4768" s="61">
        <v>4735</v>
      </c>
      <c r="C4768" s="61">
        <v>159036.92742046918</v>
      </c>
      <c r="D4768" s="102">
        <v>0.20135231441888601</v>
      </c>
    </row>
    <row r="4769" spans="2:4" x14ac:dyDescent="0.25">
      <c r="B4769" s="61">
        <v>4736</v>
      </c>
      <c r="C4769" s="61">
        <v>448678.36381374986</v>
      </c>
      <c r="D4769" s="102">
        <v>0.39349115929933465</v>
      </c>
    </row>
    <row r="4770" spans="2:4" x14ac:dyDescent="0.25">
      <c r="B4770" s="61">
        <v>4737</v>
      </c>
      <c r="C4770" s="61">
        <v>212231.07343171537</v>
      </c>
      <c r="D4770" s="102">
        <v>0.2084828364651472</v>
      </c>
    </row>
    <row r="4771" spans="2:4" x14ac:dyDescent="0.25">
      <c r="B4771" s="61">
        <v>4738</v>
      </c>
      <c r="C4771" s="61">
        <v>244063.70264951151</v>
      </c>
      <c r="D4771" s="102">
        <v>0.23131938189900114</v>
      </c>
    </row>
    <row r="4772" spans="2:4" x14ac:dyDescent="0.25">
      <c r="B4772" s="61">
        <v>4739</v>
      </c>
      <c r="C4772" s="61">
        <v>265569.05610589311</v>
      </c>
      <c r="D4772" s="102">
        <v>0.24630768942695846</v>
      </c>
    </row>
    <row r="4773" spans="2:4" x14ac:dyDescent="0.25">
      <c r="B4773" s="61">
        <v>4740</v>
      </c>
      <c r="C4773" s="61">
        <v>445290.39044287987</v>
      </c>
      <c r="D4773" s="102">
        <v>0.44536293139515926</v>
      </c>
    </row>
    <row r="4774" spans="2:4" x14ac:dyDescent="0.25">
      <c r="B4774" s="61">
        <v>4741</v>
      </c>
      <c r="C4774" s="61">
        <v>205463.39591062826</v>
      </c>
      <c r="D4774" s="102">
        <v>0.21014450973268084</v>
      </c>
    </row>
    <row r="4775" spans="2:4" x14ac:dyDescent="0.25">
      <c r="B4775" s="61">
        <v>4742</v>
      </c>
      <c r="C4775" s="61">
        <v>130258.13833786629</v>
      </c>
      <c r="D4775" s="102">
        <v>0.15231123079486886</v>
      </c>
    </row>
    <row r="4776" spans="2:4" x14ac:dyDescent="0.25">
      <c r="B4776" s="61">
        <v>4743</v>
      </c>
      <c r="C4776" s="61">
        <v>247397.68509107456</v>
      </c>
      <c r="D4776" s="102">
        <v>0.26482284739344308</v>
      </c>
    </row>
    <row r="4777" spans="2:4" x14ac:dyDescent="0.25">
      <c r="B4777" s="61">
        <v>4744</v>
      </c>
      <c r="C4777" s="61">
        <v>201216.7238642415</v>
      </c>
      <c r="D4777" s="102">
        <v>0.22836330406924854</v>
      </c>
    </row>
    <row r="4778" spans="2:4" x14ac:dyDescent="0.25">
      <c r="B4778" s="61">
        <v>4745</v>
      </c>
      <c r="C4778" s="61">
        <v>209557.36924243916</v>
      </c>
      <c r="D4778" s="102">
        <v>0.24992953752640612</v>
      </c>
    </row>
    <row r="4779" spans="2:4" x14ac:dyDescent="0.25">
      <c r="B4779" s="61">
        <v>4746</v>
      </c>
      <c r="C4779" s="61">
        <v>177336.21088230959</v>
      </c>
      <c r="D4779" s="102">
        <v>0.26231679291531895</v>
      </c>
    </row>
    <row r="4780" spans="2:4" x14ac:dyDescent="0.25">
      <c r="B4780" s="61">
        <v>4747</v>
      </c>
      <c r="C4780" s="61">
        <v>374311.6328404044</v>
      </c>
      <c r="D4780" s="102">
        <v>0.345988400520995</v>
      </c>
    </row>
    <row r="4781" spans="2:4" x14ac:dyDescent="0.25">
      <c r="B4781" s="61">
        <v>4748</v>
      </c>
      <c r="C4781" s="61">
        <v>178688.38880515832</v>
      </c>
      <c r="D4781" s="102">
        <v>0.18928602898081337</v>
      </c>
    </row>
    <row r="4782" spans="2:4" x14ac:dyDescent="0.25">
      <c r="B4782" s="61">
        <v>4749</v>
      </c>
      <c r="C4782" s="61">
        <v>203479.74732757185</v>
      </c>
      <c r="D4782" s="102">
        <v>0.21513995386985973</v>
      </c>
    </row>
    <row r="4783" spans="2:4" x14ac:dyDescent="0.25">
      <c r="B4783" s="61">
        <v>4750</v>
      </c>
      <c r="C4783" s="61">
        <v>4291.6697553989943</v>
      </c>
      <c r="D4783" s="102">
        <v>6.734846473268119E-2</v>
      </c>
    </row>
    <row r="4784" spans="2:4" x14ac:dyDescent="0.25">
      <c r="B4784" s="61">
        <v>4751</v>
      </c>
      <c r="C4784" s="61">
        <v>169245.45191642118</v>
      </c>
      <c r="D4784" s="102">
        <v>0.15414706671944356</v>
      </c>
    </row>
    <row r="4785" spans="2:4" x14ac:dyDescent="0.25">
      <c r="B4785" s="61">
        <v>4752</v>
      </c>
      <c r="C4785" s="61">
        <v>357825.94724621938</v>
      </c>
      <c r="D4785" s="102">
        <v>0.31794751825472423</v>
      </c>
    </row>
    <row r="4786" spans="2:4" x14ac:dyDescent="0.25">
      <c r="B4786" s="61">
        <v>4753</v>
      </c>
      <c r="C4786" s="61">
        <v>358287.72665988095</v>
      </c>
      <c r="D4786" s="102">
        <v>0.34694558837719458</v>
      </c>
    </row>
    <row r="4787" spans="2:4" x14ac:dyDescent="0.25">
      <c r="B4787" s="61">
        <v>4754</v>
      </c>
      <c r="C4787" s="61">
        <v>198731.13999881293</v>
      </c>
      <c r="D4787" s="102">
        <v>0.19683378176728561</v>
      </c>
    </row>
    <row r="4788" spans="2:4" x14ac:dyDescent="0.25">
      <c r="B4788" s="61">
        <v>4755</v>
      </c>
      <c r="C4788" s="61">
        <v>414496.89860761329</v>
      </c>
      <c r="D4788" s="102">
        <v>0.35236092204835612</v>
      </c>
    </row>
    <row r="4789" spans="2:4" x14ac:dyDescent="0.25">
      <c r="B4789" s="61">
        <v>4756</v>
      </c>
      <c r="C4789" s="61">
        <v>333036.64324110025</v>
      </c>
      <c r="D4789" s="102">
        <v>0.29032183909556442</v>
      </c>
    </row>
    <row r="4790" spans="2:4" x14ac:dyDescent="0.25">
      <c r="B4790" s="61">
        <v>4757</v>
      </c>
      <c r="C4790" s="61">
        <v>187478.83724675828</v>
      </c>
      <c r="D4790" s="102">
        <v>0.21548431903460519</v>
      </c>
    </row>
    <row r="4791" spans="2:4" x14ac:dyDescent="0.25">
      <c r="B4791" s="61">
        <v>4758</v>
      </c>
      <c r="C4791" s="61">
        <v>329870.23231926968</v>
      </c>
      <c r="D4791" s="102">
        <v>0.30990720928459559</v>
      </c>
    </row>
    <row r="4792" spans="2:4" x14ac:dyDescent="0.25">
      <c r="B4792" s="61">
        <v>4759</v>
      </c>
      <c r="C4792" s="61">
        <v>309546.50147576095</v>
      </c>
      <c r="D4792" s="102">
        <v>0.34224642012005368</v>
      </c>
    </row>
    <row r="4793" spans="2:4" x14ac:dyDescent="0.25">
      <c r="B4793" s="61">
        <v>4760</v>
      </c>
      <c r="C4793" s="61">
        <v>228027.66484041966</v>
      </c>
      <c r="D4793" s="102">
        <v>0.26354397681577524</v>
      </c>
    </row>
    <row r="4794" spans="2:4" x14ac:dyDescent="0.25">
      <c r="B4794" s="61">
        <v>4761</v>
      </c>
      <c r="C4794" s="61">
        <v>135094.70123989723</v>
      </c>
      <c r="D4794" s="102">
        <v>0.17636401896144238</v>
      </c>
    </row>
    <row r="4795" spans="2:4" x14ac:dyDescent="0.25">
      <c r="B4795" s="61">
        <v>4762</v>
      </c>
      <c r="C4795" s="61">
        <v>180178.75858348119</v>
      </c>
      <c r="D4795" s="102">
        <v>0.18638458418655812</v>
      </c>
    </row>
    <row r="4796" spans="2:4" x14ac:dyDescent="0.25">
      <c r="B4796" s="61">
        <v>4763</v>
      </c>
      <c r="C4796" s="61">
        <v>385809.80494792853</v>
      </c>
      <c r="D4796" s="102">
        <v>0.35222467002854851</v>
      </c>
    </row>
    <row r="4797" spans="2:4" x14ac:dyDescent="0.25">
      <c r="B4797" s="61">
        <v>4764</v>
      </c>
      <c r="C4797" s="61">
        <v>334860.51164549077</v>
      </c>
      <c r="D4797" s="102">
        <v>0.31021017040717025</v>
      </c>
    </row>
    <row r="4798" spans="2:4" x14ac:dyDescent="0.25">
      <c r="B4798" s="61">
        <v>4765</v>
      </c>
      <c r="C4798" s="61">
        <v>304891.37948394998</v>
      </c>
      <c r="D4798" s="102">
        <v>0.26289174519727565</v>
      </c>
    </row>
    <row r="4799" spans="2:4" x14ac:dyDescent="0.25">
      <c r="B4799" s="61">
        <v>4766</v>
      </c>
      <c r="C4799" s="61">
        <v>215254.34599433234</v>
      </c>
      <c r="D4799" s="102">
        <v>0.27819205592541074</v>
      </c>
    </row>
    <row r="4800" spans="2:4" x14ac:dyDescent="0.25">
      <c r="B4800" s="61">
        <v>4767</v>
      </c>
      <c r="C4800" s="61">
        <v>137922.8428411521</v>
      </c>
      <c r="D4800" s="102">
        <v>0.15786238829825328</v>
      </c>
    </row>
    <row r="4801" spans="2:4" x14ac:dyDescent="0.25">
      <c r="B4801" s="61">
        <v>4768</v>
      </c>
      <c r="C4801" s="61">
        <v>305722.31527709623</v>
      </c>
      <c r="D4801" s="102">
        <v>0.31720485843673019</v>
      </c>
    </row>
    <row r="4802" spans="2:4" x14ac:dyDescent="0.25">
      <c r="B4802" s="61">
        <v>4769</v>
      </c>
      <c r="C4802" s="61">
        <v>181270.53250209021</v>
      </c>
      <c r="D4802" s="102">
        <v>0.22356736603188332</v>
      </c>
    </row>
    <row r="4803" spans="2:4" x14ac:dyDescent="0.25">
      <c r="B4803" s="61">
        <v>4770</v>
      </c>
      <c r="C4803" s="61">
        <v>171751.7372149966</v>
      </c>
      <c r="D4803" s="102">
        <v>0.23230394865823834</v>
      </c>
    </row>
    <row r="4804" spans="2:4" x14ac:dyDescent="0.25">
      <c r="B4804" s="61">
        <v>4771</v>
      </c>
      <c r="C4804" s="61">
        <v>23149.789128382341</v>
      </c>
      <c r="D4804" s="102">
        <v>8.4171754810741239E-2</v>
      </c>
    </row>
    <row r="4805" spans="2:4" x14ac:dyDescent="0.25">
      <c r="B4805" s="61">
        <v>4772</v>
      </c>
      <c r="C4805" s="61">
        <v>515734.20410947793</v>
      </c>
      <c r="D4805" s="102">
        <v>0.48668974597747994</v>
      </c>
    </row>
    <row r="4806" spans="2:4" x14ac:dyDescent="0.25">
      <c r="B4806" s="61">
        <v>4773</v>
      </c>
      <c r="C4806" s="61">
        <v>369873.66061905061</v>
      </c>
      <c r="D4806" s="102">
        <v>0.30110182968726162</v>
      </c>
    </row>
    <row r="4807" spans="2:4" x14ac:dyDescent="0.25">
      <c r="B4807" s="61">
        <v>4774</v>
      </c>
      <c r="C4807" s="61">
        <v>350365.89914006402</v>
      </c>
      <c r="D4807" s="102">
        <v>0.41769782444709924</v>
      </c>
    </row>
    <row r="4808" spans="2:4" x14ac:dyDescent="0.25">
      <c r="B4808" s="61">
        <v>4775</v>
      </c>
      <c r="C4808" s="61">
        <v>291841.68231047154</v>
      </c>
      <c r="D4808" s="102">
        <v>0.27033335778902501</v>
      </c>
    </row>
    <row r="4809" spans="2:4" x14ac:dyDescent="0.25">
      <c r="B4809" s="61">
        <v>4776</v>
      </c>
      <c r="C4809" s="61">
        <v>282796.04592118342</v>
      </c>
      <c r="D4809" s="102">
        <v>0.34607006127777384</v>
      </c>
    </row>
    <row r="4810" spans="2:4" x14ac:dyDescent="0.25">
      <c r="B4810" s="61">
        <v>4777</v>
      </c>
      <c r="C4810" s="61">
        <v>242297.78954204603</v>
      </c>
      <c r="D4810" s="102">
        <v>0.31681861519648313</v>
      </c>
    </row>
    <row r="4811" spans="2:4" x14ac:dyDescent="0.25">
      <c r="B4811" s="61">
        <v>4778</v>
      </c>
      <c r="C4811" s="61">
        <v>155028.57558196987</v>
      </c>
      <c r="D4811" s="102">
        <v>0.19309912853710554</v>
      </c>
    </row>
    <row r="4812" spans="2:4" x14ac:dyDescent="0.25">
      <c r="B4812" s="61">
        <v>4779</v>
      </c>
      <c r="C4812" s="61">
        <v>211664.71843329316</v>
      </c>
      <c r="D4812" s="102">
        <v>0.23898181612794245</v>
      </c>
    </row>
    <row r="4813" spans="2:4" x14ac:dyDescent="0.25">
      <c r="B4813" s="61">
        <v>4780</v>
      </c>
      <c r="C4813" s="61">
        <v>177531.62294584664</v>
      </c>
      <c r="D4813" s="102">
        <v>0.19946015868355227</v>
      </c>
    </row>
    <row r="4814" spans="2:4" x14ac:dyDescent="0.25">
      <c r="B4814" s="61">
        <v>4781</v>
      </c>
      <c r="C4814" s="61">
        <v>390156.88501689013</v>
      </c>
      <c r="D4814" s="102">
        <v>0.33501910775031085</v>
      </c>
    </row>
    <row r="4815" spans="2:4" x14ac:dyDescent="0.25">
      <c r="B4815" s="61">
        <v>4782</v>
      </c>
      <c r="C4815" s="61">
        <v>-5573.6281357167754</v>
      </c>
      <c r="D4815" s="102">
        <v>5.7244998618754872E-2</v>
      </c>
    </row>
    <row r="4816" spans="2:4" x14ac:dyDescent="0.25">
      <c r="B4816" s="61">
        <v>4783</v>
      </c>
      <c r="C4816" s="61">
        <v>210873.68481762602</v>
      </c>
      <c r="D4816" s="102">
        <v>0.24322664873338584</v>
      </c>
    </row>
    <row r="4817" spans="2:4" x14ac:dyDescent="0.25">
      <c r="B4817" s="61">
        <v>4784</v>
      </c>
      <c r="C4817" s="61">
        <v>394118.96146952012</v>
      </c>
      <c r="D4817" s="102">
        <v>0.33808289968038663</v>
      </c>
    </row>
    <row r="4818" spans="2:4" x14ac:dyDescent="0.25">
      <c r="B4818" s="61">
        <v>4785</v>
      </c>
      <c r="C4818" s="61">
        <v>403504.05391336011</v>
      </c>
      <c r="D4818" s="102">
        <v>0.39412851933991933</v>
      </c>
    </row>
    <row r="4819" spans="2:4" x14ac:dyDescent="0.25">
      <c r="B4819" s="61">
        <v>4786</v>
      </c>
      <c r="C4819" s="61">
        <v>173167.09496279561</v>
      </c>
      <c r="D4819" s="102">
        <v>0.20039376995597769</v>
      </c>
    </row>
    <row r="4820" spans="2:4" x14ac:dyDescent="0.25">
      <c r="B4820" s="61">
        <v>4787</v>
      </c>
      <c r="C4820" s="61">
        <v>560802.8201691946</v>
      </c>
      <c r="D4820" s="102">
        <v>0.64793340331157334</v>
      </c>
    </row>
    <row r="4821" spans="2:4" x14ac:dyDescent="0.25">
      <c r="B4821" s="61">
        <v>4788</v>
      </c>
      <c r="C4821" s="61">
        <v>306937.29419227643</v>
      </c>
      <c r="D4821" s="102">
        <v>0.3152411731606144</v>
      </c>
    </row>
    <row r="4822" spans="2:4" x14ac:dyDescent="0.25">
      <c r="B4822" s="61">
        <v>4789</v>
      </c>
      <c r="C4822" s="61">
        <v>521144.63932844403</v>
      </c>
      <c r="D4822" s="102">
        <v>0.53014426550808635</v>
      </c>
    </row>
    <row r="4823" spans="2:4" x14ac:dyDescent="0.25">
      <c r="B4823" s="61">
        <v>4790</v>
      </c>
      <c r="C4823" s="61">
        <v>227799.77713332837</v>
      </c>
      <c r="D4823" s="102">
        <v>0.25770877349418497</v>
      </c>
    </row>
    <row r="4824" spans="2:4" x14ac:dyDescent="0.25">
      <c r="B4824" s="61">
        <v>4791</v>
      </c>
      <c r="C4824" s="61">
        <v>257168.2569484103</v>
      </c>
      <c r="D4824" s="102">
        <v>0.25599192712019891</v>
      </c>
    </row>
    <row r="4825" spans="2:4" x14ac:dyDescent="0.25">
      <c r="B4825" s="61">
        <v>4792</v>
      </c>
      <c r="C4825" s="61">
        <v>242264.7204139547</v>
      </c>
      <c r="D4825" s="102">
        <v>0.30528587375129179</v>
      </c>
    </row>
    <row r="4826" spans="2:4" x14ac:dyDescent="0.25">
      <c r="B4826" s="61">
        <v>4793</v>
      </c>
      <c r="C4826" s="61">
        <v>16926.111750522628</v>
      </c>
      <c r="D4826" s="102">
        <v>7.5348807653596639E-2</v>
      </c>
    </row>
    <row r="4827" spans="2:4" x14ac:dyDescent="0.25">
      <c r="B4827" s="61">
        <v>4794</v>
      </c>
      <c r="C4827" s="61">
        <v>198241.73044833983</v>
      </c>
      <c r="D4827" s="102">
        <v>0.30510057722713957</v>
      </c>
    </row>
    <row r="4828" spans="2:4" x14ac:dyDescent="0.25">
      <c r="B4828" s="61">
        <v>4795</v>
      </c>
      <c r="C4828" s="61">
        <v>520150.03474045452</v>
      </c>
      <c r="D4828" s="102">
        <v>0.5088390089803998</v>
      </c>
    </row>
    <row r="4829" spans="2:4" x14ac:dyDescent="0.25">
      <c r="B4829" s="61">
        <v>4796</v>
      </c>
      <c r="C4829" s="61">
        <v>300440.47619162104</v>
      </c>
      <c r="D4829" s="102">
        <v>0.31806686990816302</v>
      </c>
    </row>
    <row r="4830" spans="2:4" x14ac:dyDescent="0.25">
      <c r="B4830" s="61">
        <v>4797</v>
      </c>
      <c r="C4830" s="61">
        <v>314718.86692958779</v>
      </c>
      <c r="D4830" s="102">
        <v>0.29665090299542118</v>
      </c>
    </row>
    <row r="4831" spans="2:4" x14ac:dyDescent="0.25">
      <c r="B4831" s="61">
        <v>4798</v>
      </c>
      <c r="C4831" s="61">
        <v>263798.88136193797</v>
      </c>
      <c r="D4831" s="102">
        <v>0.27097180874887217</v>
      </c>
    </row>
    <row r="4832" spans="2:4" x14ac:dyDescent="0.25">
      <c r="B4832" s="61">
        <v>4799</v>
      </c>
      <c r="C4832" s="61">
        <v>202681.20986936463</v>
      </c>
      <c r="D4832" s="102">
        <v>0.19786847506017424</v>
      </c>
    </row>
    <row r="4833" spans="2:4" x14ac:dyDescent="0.25">
      <c r="B4833" s="61">
        <v>4800</v>
      </c>
      <c r="C4833" s="61">
        <v>203518.92596452835</v>
      </c>
      <c r="D4833" s="102">
        <v>0.23487954740819728</v>
      </c>
    </row>
    <row r="4834" spans="2:4" x14ac:dyDescent="0.25">
      <c r="B4834" s="61">
        <v>4801</v>
      </c>
      <c r="C4834" s="61">
        <v>101168.22278770432</v>
      </c>
      <c r="D4834" s="102">
        <v>0.15869157644446208</v>
      </c>
    </row>
    <row r="4835" spans="2:4" x14ac:dyDescent="0.25">
      <c r="B4835" s="61">
        <v>4802</v>
      </c>
      <c r="C4835" s="61">
        <v>-19257.740919351403</v>
      </c>
      <c r="D4835" s="102">
        <v>4.7078160831848681E-2</v>
      </c>
    </row>
    <row r="4836" spans="2:4" x14ac:dyDescent="0.25">
      <c r="B4836" s="61">
        <v>4803</v>
      </c>
      <c r="C4836" s="61">
        <v>616760.26182813384</v>
      </c>
      <c r="D4836" s="102">
        <v>0.60424112878190539</v>
      </c>
    </row>
    <row r="4837" spans="2:4" x14ac:dyDescent="0.25">
      <c r="B4837" s="61">
        <v>4804</v>
      </c>
      <c r="C4837" s="61">
        <v>425750.1916487508</v>
      </c>
      <c r="D4837" s="102">
        <v>0.39097976660074041</v>
      </c>
    </row>
    <row r="4838" spans="2:4" x14ac:dyDescent="0.25">
      <c r="B4838" s="61">
        <v>4805</v>
      </c>
      <c r="C4838" s="61">
        <v>216887.10462658165</v>
      </c>
      <c r="D4838" s="102">
        <v>0.21987644841334064</v>
      </c>
    </row>
    <row r="4839" spans="2:4" x14ac:dyDescent="0.25">
      <c r="B4839" s="61">
        <v>4806</v>
      </c>
      <c r="C4839" s="61">
        <v>103126.9202297036</v>
      </c>
      <c r="D4839" s="102">
        <v>0.14616932272893646</v>
      </c>
    </row>
    <row r="4840" spans="2:4" x14ac:dyDescent="0.25">
      <c r="B4840" s="61">
        <v>4807</v>
      </c>
      <c r="C4840" s="61">
        <v>21765.897524498578</v>
      </c>
      <c r="D4840" s="102">
        <v>8.3125394308401601E-2</v>
      </c>
    </row>
    <row r="4841" spans="2:4" x14ac:dyDescent="0.25">
      <c r="B4841" s="61">
        <v>4808</v>
      </c>
      <c r="C4841" s="61">
        <v>269341.90796259465</v>
      </c>
      <c r="D4841" s="102">
        <v>0.27419623322452691</v>
      </c>
    </row>
    <row r="4842" spans="2:4" x14ac:dyDescent="0.25">
      <c r="B4842" s="61">
        <v>4809</v>
      </c>
      <c r="C4842" s="61">
        <v>438831.71145691618</v>
      </c>
      <c r="D4842" s="102">
        <v>0.39740609147603556</v>
      </c>
    </row>
    <row r="4843" spans="2:4" x14ac:dyDescent="0.25">
      <c r="B4843" s="61">
        <v>4810</v>
      </c>
      <c r="C4843" s="61">
        <v>355112.44862463977</v>
      </c>
      <c r="D4843" s="102">
        <v>0.30060890557001407</v>
      </c>
    </row>
    <row r="4844" spans="2:4" x14ac:dyDescent="0.25">
      <c r="B4844" s="61">
        <v>4811</v>
      </c>
      <c r="C4844" s="61">
        <v>140139.0767492259</v>
      </c>
      <c r="D4844" s="102">
        <v>0.21442244418665068</v>
      </c>
    </row>
    <row r="4845" spans="2:4" x14ac:dyDescent="0.25">
      <c r="B4845" s="61">
        <v>4812</v>
      </c>
      <c r="C4845" s="61">
        <v>281430.49825540208</v>
      </c>
      <c r="D4845" s="102">
        <v>0.27751194220541353</v>
      </c>
    </row>
    <row r="4846" spans="2:4" x14ac:dyDescent="0.25">
      <c r="B4846" s="61">
        <v>4813</v>
      </c>
      <c r="C4846" s="61">
        <v>291081.55071893346</v>
      </c>
      <c r="D4846" s="102">
        <v>0.28275076514971698</v>
      </c>
    </row>
    <row r="4847" spans="2:4" x14ac:dyDescent="0.25">
      <c r="B4847" s="61">
        <v>4814</v>
      </c>
      <c r="C4847" s="61">
        <v>137966.73220527824</v>
      </c>
      <c r="D4847" s="102">
        <v>0.16744855675315851</v>
      </c>
    </row>
    <row r="4848" spans="2:4" x14ac:dyDescent="0.25">
      <c r="B4848" s="61">
        <v>4815</v>
      </c>
      <c r="C4848" s="61">
        <v>281206.53152241628</v>
      </c>
      <c r="D4848" s="102">
        <v>0.31427600922071086</v>
      </c>
    </row>
    <row r="4849" spans="2:4" x14ac:dyDescent="0.25">
      <c r="B4849" s="61">
        <v>4816</v>
      </c>
      <c r="C4849" s="61">
        <v>374060.70798689185</v>
      </c>
      <c r="D4849" s="102">
        <v>0.35321540618732139</v>
      </c>
    </row>
    <row r="4850" spans="2:4" x14ac:dyDescent="0.25">
      <c r="B4850" s="61">
        <v>4817</v>
      </c>
      <c r="C4850" s="61">
        <v>171393.27182525001</v>
      </c>
      <c r="D4850" s="102">
        <v>0.21014852362703595</v>
      </c>
    </row>
    <row r="4851" spans="2:4" x14ac:dyDescent="0.25">
      <c r="B4851" s="61">
        <v>4818</v>
      </c>
      <c r="C4851" s="61">
        <v>233197.99465055042</v>
      </c>
      <c r="D4851" s="102">
        <v>0.27675317687565282</v>
      </c>
    </row>
    <row r="4852" spans="2:4" x14ac:dyDescent="0.25">
      <c r="B4852" s="61">
        <v>4819</v>
      </c>
      <c r="C4852" s="61">
        <v>377562.98494595021</v>
      </c>
      <c r="D4852" s="102">
        <v>0.32817332301788182</v>
      </c>
    </row>
    <row r="4853" spans="2:4" x14ac:dyDescent="0.25">
      <c r="B4853" s="61">
        <v>4820</v>
      </c>
      <c r="C4853" s="61">
        <v>313176.8381772422</v>
      </c>
      <c r="D4853" s="102">
        <v>0.29564256353961471</v>
      </c>
    </row>
    <row r="4854" spans="2:4" x14ac:dyDescent="0.25">
      <c r="B4854" s="61">
        <v>4821</v>
      </c>
      <c r="C4854" s="61">
        <v>305822.61118770938</v>
      </c>
      <c r="D4854" s="102">
        <v>0.31625215535403051</v>
      </c>
    </row>
    <row r="4855" spans="2:4" x14ac:dyDescent="0.25">
      <c r="B4855" s="61">
        <v>4822</v>
      </c>
      <c r="C4855" s="61">
        <v>250700.8811000922</v>
      </c>
      <c r="D4855" s="102">
        <v>0.27748241959100217</v>
      </c>
    </row>
    <row r="4856" spans="2:4" x14ac:dyDescent="0.25">
      <c r="B4856" s="61">
        <v>4823</v>
      </c>
      <c r="C4856" s="61">
        <v>399541.40279535984</v>
      </c>
      <c r="D4856" s="102">
        <v>0.34637414424247992</v>
      </c>
    </row>
    <row r="4857" spans="2:4" x14ac:dyDescent="0.25">
      <c r="B4857" s="61">
        <v>4824</v>
      </c>
      <c r="C4857" s="61">
        <v>169903.922997577</v>
      </c>
      <c r="D4857" s="102">
        <v>0.21451600750080657</v>
      </c>
    </row>
    <row r="4858" spans="2:4" x14ac:dyDescent="0.25">
      <c r="B4858" s="61">
        <v>4825</v>
      </c>
      <c r="C4858" s="61">
        <v>75040.502096629061</v>
      </c>
      <c r="D4858" s="102">
        <v>0.11649931048306872</v>
      </c>
    </row>
    <row r="4859" spans="2:4" x14ac:dyDescent="0.25">
      <c r="B4859" s="61">
        <v>4826</v>
      </c>
      <c r="C4859" s="61">
        <v>313974.15051678137</v>
      </c>
      <c r="D4859" s="102">
        <v>0.29989020472398664</v>
      </c>
    </row>
    <row r="4860" spans="2:4" x14ac:dyDescent="0.25">
      <c r="B4860" s="61">
        <v>4827</v>
      </c>
      <c r="C4860" s="61">
        <v>104282.70345699816</v>
      </c>
      <c r="D4860" s="102">
        <v>0.17492488991827471</v>
      </c>
    </row>
    <row r="4861" spans="2:4" x14ac:dyDescent="0.25">
      <c r="B4861" s="61">
        <v>4828</v>
      </c>
      <c r="C4861" s="61">
        <v>23917.895765659458</v>
      </c>
      <c r="D4861" s="102">
        <v>8.7120779543473414E-2</v>
      </c>
    </row>
    <row r="4862" spans="2:4" x14ac:dyDescent="0.25">
      <c r="B4862" s="61">
        <v>4829</v>
      </c>
      <c r="C4862" s="61">
        <v>225084.15250193479</v>
      </c>
      <c r="D4862" s="102">
        <v>0.1907711630146649</v>
      </c>
    </row>
    <row r="4863" spans="2:4" x14ac:dyDescent="0.25">
      <c r="B4863" s="61">
        <v>4830</v>
      </c>
      <c r="C4863" s="61">
        <v>45196.740019399847</v>
      </c>
      <c r="D4863" s="102">
        <v>0.1034906036439045</v>
      </c>
    </row>
    <row r="4864" spans="2:4" x14ac:dyDescent="0.25">
      <c r="B4864" s="61">
        <v>4831</v>
      </c>
      <c r="C4864" s="61">
        <v>79474.968882946938</v>
      </c>
      <c r="D4864" s="102">
        <v>0.12301518575652892</v>
      </c>
    </row>
    <row r="4865" spans="2:4" x14ac:dyDescent="0.25">
      <c r="B4865" s="61">
        <v>4832</v>
      </c>
      <c r="C4865" s="61">
        <v>268233.74499332171</v>
      </c>
      <c r="D4865" s="102">
        <v>0.27273790056800351</v>
      </c>
    </row>
    <row r="4866" spans="2:4" x14ac:dyDescent="0.25">
      <c r="B4866" s="61">
        <v>4833</v>
      </c>
      <c r="C4866" s="61">
        <v>173296.13913955865</v>
      </c>
      <c r="D4866" s="102">
        <v>0.23071467606060381</v>
      </c>
    </row>
    <row r="4867" spans="2:4" x14ac:dyDescent="0.25">
      <c r="B4867" s="61">
        <v>4834</v>
      </c>
      <c r="C4867" s="61">
        <v>29288.033303006145</v>
      </c>
      <c r="D4867" s="102">
        <v>8.2370144023596215E-2</v>
      </c>
    </row>
    <row r="4868" spans="2:4" x14ac:dyDescent="0.25">
      <c r="B4868" s="61">
        <v>4835</v>
      </c>
      <c r="C4868" s="61">
        <v>276522.76527702913</v>
      </c>
      <c r="D4868" s="102">
        <v>0.31588943985643225</v>
      </c>
    </row>
    <row r="4869" spans="2:4" x14ac:dyDescent="0.25">
      <c r="B4869" s="61">
        <v>4836</v>
      </c>
      <c r="C4869" s="61">
        <v>322926.89306496782</v>
      </c>
      <c r="D4869" s="102">
        <v>0.36173976093475724</v>
      </c>
    </row>
    <row r="4870" spans="2:4" x14ac:dyDescent="0.25">
      <c r="B4870" s="61">
        <v>4837</v>
      </c>
      <c r="C4870" s="61">
        <v>359425.16863391316</v>
      </c>
      <c r="D4870" s="102">
        <v>0.32004312939256474</v>
      </c>
    </row>
    <row r="4871" spans="2:4" x14ac:dyDescent="0.25">
      <c r="B4871" s="61">
        <v>4838</v>
      </c>
      <c r="C4871" s="61">
        <v>358080.56628930371</v>
      </c>
      <c r="D4871" s="102">
        <v>0.34520622578554394</v>
      </c>
    </row>
    <row r="4872" spans="2:4" x14ac:dyDescent="0.25">
      <c r="B4872" s="61">
        <v>4839</v>
      </c>
      <c r="C4872" s="61">
        <v>292943.58529248729</v>
      </c>
      <c r="D4872" s="102">
        <v>0.30727819127502243</v>
      </c>
    </row>
    <row r="4873" spans="2:4" x14ac:dyDescent="0.25">
      <c r="B4873" s="61">
        <v>4840</v>
      </c>
      <c r="C4873" s="61">
        <v>294750.48518583889</v>
      </c>
      <c r="D4873" s="102">
        <v>0.29560996686559937</v>
      </c>
    </row>
    <row r="4874" spans="2:4" x14ac:dyDescent="0.25">
      <c r="B4874" s="61">
        <v>4841</v>
      </c>
      <c r="C4874" s="61">
        <v>417373.12303455838</v>
      </c>
      <c r="D4874" s="102">
        <v>0.36476277207312813</v>
      </c>
    </row>
    <row r="4875" spans="2:4" x14ac:dyDescent="0.25">
      <c r="B4875" s="61">
        <v>4842</v>
      </c>
      <c r="C4875" s="61">
        <v>170001.7633875967</v>
      </c>
      <c r="D4875" s="102">
        <v>0.20769226935535934</v>
      </c>
    </row>
    <row r="4876" spans="2:4" x14ac:dyDescent="0.25">
      <c r="B4876" s="61">
        <v>4843</v>
      </c>
      <c r="C4876" s="61">
        <v>342588.41399389075</v>
      </c>
      <c r="D4876" s="102">
        <v>0.3407901833737057</v>
      </c>
    </row>
    <row r="4877" spans="2:4" x14ac:dyDescent="0.25">
      <c r="B4877" s="61">
        <v>4844</v>
      </c>
      <c r="C4877" s="61">
        <v>341569.61502321344</v>
      </c>
      <c r="D4877" s="102">
        <v>0.26039068883327987</v>
      </c>
    </row>
    <row r="4878" spans="2:4" x14ac:dyDescent="0.25">
      <c r="B4878" s="61">
        <v>4845</v>
      </c>
      <c r="C4878" s="61">
        <v>154450.81260152388</v>
      </c>
      <c r="D4878" s="102">
        <v>0.1953873758090503</v>
      </c>
    </row>
    <row r="4879" spans="2:4" x14ac:dyDescent="0.25">
      <c r="B4879" s="61">
        <v>4846</v>
      </c>
      <c r="C4879" s="61">
        <v>137037.8984446809</v>
      </c>
      <c r="D4879" s="102">
        <v>0.18700622413279855</v>
      </c>
    </row>
    <row r="4880" spans="2:4" x14ac:dyDescent="0.25">
      <c r="B4880" s="61">
        <v>4847</v>
      </c>
      <c r="C4880" s="61">
        <v>335040.29309689114</v>
      </c>
      <c r="D4880" s="102">
        <v>0.32675546992381888</v>
      </c>
    </row>
    <row r="4881" spans="2:4" x14ac:dyDescent="0.25">
      <c r="B4881" s="61">
        <v>4848</v>
      </c>
      <c r="C4881" s="61">
        <v>14690.217318025476</v>
      </c>
      <c r="D4881" s="102">
        <v>7.5499149651150566E-2</v>
      </c>
    </row>
    <row r="4882" spans="2:4" x14ac:dyDescent="0.25">
      <c r="B4882" s="61">
        <v>4849</v>
      </c>
      <c r="C4882" s="61">
        <v>268893.78503314767</v>
      </c>
      <c r="D4882" s="102">
        <v>0.31407727436360111</v>
      </c>
    </row>
    <row r="4883" spans="2:4" x14ac:dyDescent="0.25">
      <c r="B4883" s="61">
        <v>4850</v>
      </c>
      <c r="C4883" s="61">
        <v>574297.28510657919</v>
      </c>
      <c r="D4883" s="102">
        <v>0.52975509531903975</v>
      </c>
    </row>
    <row r="4884" spans="2:4" x14ac:dyDescent="0.25">
      <c r="B4884" s="61">
        <v>4851</v>
      </c>
      <c r="C4884" s="61">
        <v>119325.41952431324</v>
      </c>
      <c r="D4884" s="102">
        <v>0.15144226473874123</v>
      </c>
    </row>
    <row r="4885" spans="2:4" x14ac:dyDescent="0.25">
      <c r="B4885" s="61">
        <v>4852</v>
      </c>
      <c r="C4885" s="61">
        <v>203949.23114860558</v>
      </c>
      <c r="D4885" s="102">
        <v>0.22583127424784788</v>
      </c>
    </row>
    <row r="4886" spans="2:4" x14ac:dyDescent="0.25">
      <c r="B4886" s="61">
        <v>4853</v>
      </c>
      <c r="C4886" s="61">
        <v>305600.42141726869</v>
      </c>
      <c r="D4886" s="102">
        <v>0.37103864648584417</v>
      </c>
    </row>
    <row r="4887" spans="2:4" x14ac:dyDescent="0.25">
      <c r="B4887" s="61">
        <v>4854</v>
      </c>
      <c r="C4887" s="61">
        <v>323236.75041212328</v>
      </c>
      <c r="D4887" s="102">
        <v>0.34557896120634402</v>
      </c>
    </row>
    <row r="4888" spans="2:4" x14ac:dyDescent="0.25">
      <c r="B4888" s="61">
        <v>4855</v>
      </c>
      <c r="C4888" s="61">
        <v>382468.47386222857</v>
      </c>
      <c r="D4888" s="102">
        <v>0.40038682123149449</v>
      </c>
    </row>
    <row r="4889" spans="2:4" x14ac:dyDescent="0.25">
      <c r="B4889" s="61">
        <v>4856</v>
      </c>
      <c r="C4889" s="61">
        <v>218045.42499700643</v>
      </c>
      <c r="D4889" s="102">
        <v>0.26214058542189034</v>
      </c>
    </row>
    <row r="4890" spans="2:4" x14ac:dyDescent="0.25">
      <c r="B4890" s="61">
        <v>4857</v>
      </c>
      <c r="C4890" s="61">
        <v>524912.48735943751</v>
      </c>
      <c r="D4890" s="102">
        <v>0.53584868885850678</v>
      </c>
    </row>
    <row r="4891" spans="2:4" x14ac:dyDescent="0.25">
      <c r="B4891" s="61">
        <v>4858</v>
      </c>
      <c r="C4891" s="61">
        <v>507041.9215148614</v>
      </c>
      <c r="D4891" s="102">
        <v>0.51509674571657094</v>
      </c>
    </row>
    <row r="4892" spans="2:4" x14ac:dyDescent="0.25">
      <c r="B4892" s="61">
        <v>4859</v>
      </c>
      <c r="C4892" s="61">
        <v>347337.79018724803</v>
      </c>
      <c r="D4892" s="102">
        <v>0.30788760635619816</v>
      </c>
    </row>
    <row r="4893" spans="2:4" x14ac:dyDescent="0.25">
      <c r="B4893" s="61">
        <v>4860</v>
      </c>
      <c r="C4893" s="61">
        <v>308032.28391204379</v>
      </c>
      <c r="D4893" s="102">
        <v>0.29213245506144059</v>
      </c>
    </row>
    <row r="4894" spans="2:4" x14ac:dyDescent="0.25">
      <c r="B4894" s="61">
        <v>4861</v>
      </c>
      <c r="C4894" s="61">
        <v>301216.36219667364</v>
      </c>
      <c r="D4894" s="102">
        <v>0.27925819066894197</v>
      </c>
    </row>
    <row r="4895" spans="2:4" x14ac:dyDescent="0.25">
      <c r="B4895" s="61">
        <v>4862</v>
      </c>
      <c r="C4895" s="61">
        <v>79950.061586150783</v>
      </c>
      <c r="D4895" s="102">
        <v>0.14426643235971892</v>
      </c>
    </row>
    <row r="4896" spans="2:4" x14ac:dyDescent="0.25">
      <c r="B4896" s="61">
        <v>4863</v>
      </c>
      <c r="C4896" s="61">
        <v>40685.472962882777</v>
      </c>
      <c r="D4896" s="102">
        <v>9.6702652604112149E-2</v>
      </c>
    </row>
    <row r="4897" spans="2:4" x14ac:dyDescent="0.25">
      <c r="B4897" s="61">
        <v>4864</v>
      </c>
      <c r="C4897" s="61">
        <v>328027.79162849183</v>
      </c>
      <c r="D4897" s="102">
        <v>0.31515845510495377</v>
      </c>
    </row>
    <row r="4898" spans="2:4" x14ac:dyDescent="0.25">
      <c r="B4898" s="61">
        <v>4865</v>
      </c>
      <c r="C4898" s="61">
        <v>253583.88095487596</v>
      </c>
      <c r="D4898" s="102">
        <v>0.37488466070165782</v>
      </c>
    </row>
    <row r="4899" spans="2:4" x14ac:dyDescent="0.25">
      <c r="B4899" s="61">
        <v>4866</v>
      </c>
      <c r="C4899" s="61">
        <v>298389.36510433117</v>
      </c>
      <c r="D4899" s="102">
        <v>0.31250516744272128</v>
      </c>
    </row>
    <row r="4900" spans="2:4" x14ac:dyDescent="0.25">
      <c r="B4900" s="61">
        <v>4867</v>
      </c>
      <c r="C4900" s="61">
        <v>244055.52465903654</v>
      </c>
      <c r="D4900" s="102">
        <v>0.25577004371835099</v>
      </c>
    </row>
    <row r="4901" spans="2:4" x14ac:dyDescent="0.25">
      <c r="B4901" s="61">
        <v>4868</v>
      </c>
      <c r="C4901" s="61">
        <v>205514.1432807768</v>
      </c>
      <c r="D4901" s="102">
        <v>0.24572943901182476</v>
      </c>
    </row>
    <row r="4902" spans="2:4" x14ac:dyDescent="0.25">
      <c r="B4902" s="61">
        <v>4869</v>
      </c>
      <c r="C4902" s="61">
        <v>453013.4424079312</v>
      </c>
      <c r="D4902" s="102">
        <v>0.35699011259757718</v>
      </c>
    </row>
    <row r="4903" spans="2:4" x14ac:dyDescent="0.25">
      <c r="B4903" s="61">
        <v>4870</v>
      </c>
      <c r="C4903" s="61">
        <v>440460.02814444213</v>
      </c>
      <c r="D4903" s="102">
        <v>0.4589758321123083</v>
      </c>
    </row>
    <row r="4904" spans="2:4" x14ac:dyDescent="0.25">
      <c r="B4904" s="61">
        <v>4871</v>
      </c>
      <c r="C4904" s="61">
        <v>237696.24997051118</v>
      </c>
      <c r="D4904" s="102">
        <v>0.23565559794899382</v>
      </c>
    </row>
    <row r="4905" spans="2:4" x14ac:dyDescent="0.25">
      <c r="B4905" s="61">
        <v>4872</v>
      </c>
      <c r="C4905" s="61">
        <v>-21568.000282449473</v>
      </c>
      <c r="D4905" s="102">
        <v>2.9039970848516949E-2</v>
      </c>
    </row>
    <row r="4906" spans="2:4" x14ac:dyDescent="0.25">
      <c r="B4906" s="61">
        <v>4873</v>
      </c>
      <c r="C4906" s="61">
        <v>298287.6914860775</v>
      </c>
      <c r="D4906" s="102">
        <v>0.2702232493758725</v>
      </c>
    </row>
    <row r="4907" spans="2:4" x14ac:dyDescent="0.25">
      <c r="B4907" s="61">
        <v>4874</v>
      </c>
      <c r="C4907" s="61">
        <v>86154.590723664965</v>
      </c>
      <c r="D4907" s="102">
        <v>0.16117630309348874</v>
      </c>
    </row>
    <row r="4908" spans="2:4" x14ac:dyDescent="0.25">
      <c r="B4908" s="61">
        <v>4875</v>
      </c>
      <c r="C4908" s="61">
        <v>287317.98389153299</v>
      </c>
      <c r="D4908" s="102">
        <v>0.30487907962510286</v>
      </c>
    </row>
    <row r="4909" spans="2:4" x14ac:dyDescent="0.25">
      <c r="B4909" s="61">
        <v>4876</v>
      </c>
      <c r="C4909" s="61">
        <v>3738.9613932282082</v>
      </c>
      <c r="D4909" s="102">
        <v>6.9491662844277213E-2</v>
      </c>
    </row>
    <row r="4910" spans="2:4" x14ac:dyDescent="0.25">
      <c r="B4910" s="61">
        <v>4877</v>
      </c>
      <c r="C4910" s="61">
        <v>282862.41313009372</v>
      </c>
      <c r="D4910" s="102">
        <v>0.27561895915056311</v>
      </c>
    </row>
    <row r="4911" spans="2:4" x14ac:dyDescent="0.25">
      <c r="B4911" s="61">
        <v>4878</v>
      </c>
      <c r="C4911" s="61">
        <v>282731.93300001475</v>
      </c>
      <c r="D4911" s="102">
        <v>0.29564638805851873</v>
      </c>
    </row>
    <row r="4912" spans="2:4" x14ac:dyDescent="0.25">
      <c r="B4912" s="61">
        <v>4879</v>
      </c>
      <c r="C4912" s="61">
        <v>186676.20087429066</v>
      </c>
      <c r="D4912" s="102">
        <v>0.20627953239983321</v>
      </c>
    </row>
    <row r="4913" spans="2:4" x14ac:dyDescent="0.25">
      <c r="B4913" s="61">
        <v>4880</v>
      </c>
      <c r="C4913" s="61">
        <v>143376.27659719059</v>
      </c>
      <c r="D4913" s="102">
        <v>0.177030954326864</v>
      </c>
    </row>
    <row r="4914" spans="2:4" x14ac:dyDescent="0.25">
      <c r="B4914" s="61">
        <v>4881</v>
      </c>
      <c r="C4914" s="61">
        <v>143491.26640060113</v>
      </c>
      <c r="D4914" s="102">
        <v>0.15842671051640567</v>
      </c>
    </row>
    <row r="4915" spans="2:4" x14ac:dyDescent="0.25">
      <c r="B4915" s="61">
        <v>4882</v>
      </c>
      <c r="C4915" s="61">
        <v>311870.69059953303</v>
      </c>
      <c r="D4915" s="102">
        <v>0.33059128593189224</v>
      </c>
    </row>
    <row r="4916" spans="2:4" x14ac:dyDescent="0.25">
      <c r="B4916" s="61">
        <v>4883</v>
      </c>
      <c r="C4916" s="61">
        <v>394402.2594336808</v>
      </c>
      <c r="D4916" s="102">
        <v>0.44016406963750954</v>
      </c>
    </row>
    <row r="4917" spans="2:4" x14ac:dyDescent="0.25">
      <c r="B4917" s="61">
        <v>4884</v>
      </c>
      <c r="C4917" s="61">
        <v>427925.01467390207</v>
      </c>
      <c r="D4917" s="102">
        <v>0.37066888709748769</v>
      </c>
    </row>
    <row r="4918" spans="2:4" x14ac:dyDescent="0.25">
      <c r="B4918" s="61">
        <v>4885</v>
      </c>
      <c r="C4918" s="61">
        <v>283737.82260610326</v>
      </c>
      <c r="D4918" s="102">
        <v>0.29800199686303541</v>
      </c>
    </row>
    <row r="4919" spans="2:4" x14ac:dyDescent="0.25">
      <c r="B4919" s="61">
        <v>4886</v>
      </c>
      <c r="C4919" s="61">
        <v>38823.694659883855</v>
      </c>
      <c r="D4919" s="102">
        <v>9.5516498123713545E-2</v>
      </c>
    </row>
    <row r="4920" spans="2:4" x14ac:dyDescent="0.25">
      <c r="B4920" s="61">
        <v>4887</v>
      </c>
      <c r="C4920" s="61">
        <v>167923.58505961404</v>
      </c>
      <c r="D4920" s="102">
        <v>0.19404017700813392</v>
      </c>
    </row>
    <row r="4921" spans="2:4" x14ac:dyDescent="0.25">
      <c r="B4921" s="61">
        <v>4888</v>
      </c>
      <c r="C4921" s="61">
        <v>217199.80952001666</v>
      </c>
      <c r="D4921" s="102">
        <v>0.21992866963065461</v>
      </c>
    </row>
    <row r="4922" spans="2:4" x14ac:dyDescent="0.25">
      <c r="B4922" s="61">
        <v>4889</v>
      </c>
      <c r="C4922" s="61">
        <v>251328.94689136744</v>
      </c>
      <c r="D4922" s="102">
        <v>0.26289041887225717</v>
      </c>
    </row>
    <row r="4923" spans="2:4" x14ac:dyDescent="0.25">
      <c r="B4923" s="61">
        <v>4890</v>
      </c>
      <c r="C4923" s="61">
        <v>157611.71471244842</v>
      </c>
      <c r="D4923" s="102">
        <v>0.22609239481366283</v>
      </c>
    </row>
    <row r="4924" spans="2:4" x14ac:dyDescent="0.25">
      <c r="B4924" s="61">
        <v>4891</v>
      </c>
      <c r="C4924" s="61">
        <v>136179.70215532801</v>
      </c>
      <c r="D4924" s="102">
        <v>0.13938196315332552</v>
      </c>
    </row>
    <row r="4925" spans="2:4" x14ac:dyDescent="0.25">
      <c r="B4925" s="61">
        <v>4892</v>
      </c>
      <c r="C4925" s="61">
        <v>64175.39111572213</v>
      </c>
      <c r="D4925" s="102">
        <v>0.10694788897538898</v>
      </c>
    </row>
    <row r="4926" spans="2:4" x14ac:dyDescent="0.25">
      <c r="B4926" s="61">
        <v>4893</v>
      </c>
      <c r="C4926" s="61">
        <v>376352.09929978068</v>
      </c>
      <c r="D4926" s="102">
        <v>0.30392900817811008</v>
      </c>
    </row>
    <row r="4927" spans="2:4" x14ac:dyDescent="0.25">
      <c r="B4927" s="61">
        <v>4894</v>
      </c>
      <c r="C4927" s="61">
        <v>34081.685052381596</v>
      </c>
      <c r="D4927" s="102">
        <v>8.918624059579261E-2</v>
      </c>
    </row>
    <row r="4928" spans="2:4" x14ac:dyDescent="0.25">
      <c r="B4928" s="61">
        <v>4895</v>
      </c>
      <c r="C4928" s="61">
        <v>159555.11400100857</v>
      </c>
      <c r="D4928" s="102">
        <v>0.19156717693506753</v>
      </c>
    </row>
    <row r="4929" spans="2:4" x14ac:dyDescent="0.25">
      <c r="B4929" s="61">
        <v>4896</v>
      </c>
      <c r="C4929" s="61">
        <v>313967.79714302975</v>
      </c>
      <c r="D4929" s="102">
        <v>0.27265829911360284</v>
      </c>
    </row>
    <row r="4930" spans="2:4" x14ac:dyDescent="0.25">
      <c r="B4930" s="61">
        <v>4897</v>
      </c>
      <c r="C4930" s="61">
        <v>291097.92158886755</v>
      </c>
      <c r="D4930" s="102">
        <v>0.28937031510042321</v>
      </c>
    </row>
    <row r="4931" spans="2:4" x14ac:dyDescent="0.25">
      <c r="B4931" s="61">
        <v>4898</v>
      </c>
      <c r="C4931" s="61">
        <v>198279.56717733084</v>
      </c>
      <c r="D4931" s="102">
        <v>0.25379484373009342</v>
      </c>
    </row>
    <row r="4932" spans="2:4" x14ac:dyDescent="0.25">
      <c r="B4932" s="61">
        <v>4899</v>
      </c>
      <c r="C4932" s="61">
        <v>9345.8824812376406</v>
      </c>
      <c r="D4932" s="102">
        <v>7.1361835233513693E-2</v>
      </c>
    </row>
    <row r="4933" spans="2:4" x14ac:dyDescent="0.25">
      <c r="B4933" s="61">
        <v>4900</v>
      </c>
      <c r="C4933" s="61">
        <v>280151.44971801073</v>
      </c>
      <c r="D4933" s="102">
        <v>0.29980125941314295</v>
      </c>
    </row>
    <row r="4934" spans="2:4" x14ac:dyDescent="0.25">
      <c r="B4934" s="61">
        <v>4901</v>
      </c>
      <c r="C4934" s="61">
        <v>382163.77178625623</v>
      </c>
      <c r="D4934" s="102">
        <v>0.32995425595412509</v>
      </c>
    </row>
    <row r="4935" spans="2:4" x14ac:dyDescent="0.25">
      <c r="B4935" s="61">
        <v>4902</v>
      </c>
      <c r="C4935" s="61">
        <v>214729.19018320716</v>
      </c>
      <c r="D4935" s="102">
        <v>0.23838892053290794</v>
      </c>
    </row>
    <row r="4936" spans="2:4" x14ac:dyDescent="0.25">
      <c r="B4936" s="61">
        <v>4903</v>
      </c>
      <c r="C4936" s="61">
        <v>325710.81203858403</v>
      </c>
      <c r="D4936" s="102">
        <v>0.27436399605677142</v>
      </c>
    </row>
    <row r="4937" spans="2:4" x14ac:dyDescent="0.25">
      <c r="B4937" s="61">
        <v>4904</v>
      </c>
      <c r="C4937" s="61">
        <v>362212.06528238975</v>
      </c>
      <c r="D4937" s="102">
        <v>0.260964082065549</v>
      </c>
    </row>
    <row r="4938" spans="2:4" x14ac:dyDescent="0.25">
      <c r="B4938" s="61">
        <v>4905</v>
      </c>
      <c r="C4938" s="61">
        <v>235620.19025703019</v>
      </c>
      <c r="D4938" s="102">
        <v>0.21273041855877706</v>
      </c>
    </row>
    <row r="4939" spans="2:4" x14ac:dyDescent="0.25">
      <c r="B4939" s="61">
        <v>4906</v>
      </c>
      <c r="C4939" s="61">
        <v>141349.15475817223</v>
      </c>
      <c r="D4939" s="102">
        <v>0.15467157403067855</v>
      </c>
    </row>
    <row r="4940" spans="2:4" x14ac:dyDescent="0.25">
      <c r="B4940" s="61">
        <v>4907</v>
      </c>
      <c r="C4940" s="61">
        <v>-21022.398765590216</v>
      </c>
      <c r="D4940" s="102">
        <v>4.3582198426043162E-2</v>
      </c>
    </row>
    <row r="4941" spans="2:4" x14ac:dyDescent="0.25">
      <c r="B4941" s="61">
        <v>4908</v>
      </c>
      <c r="C4941" s="61">
        <v>136919.08188381669</v>
      </c>
      <c r="D4941" s="102">
        <v>0.16733391874597792</v>
      </c>
    </row>
    <row r="4942" spans="2:4" x14ac:dyDescent="0.25">
      <c r="B4942" s="61">
        <v>4909</v>
      </c>
      <c r="C4942" s="61">
        <v>211140.24013311148</v>
      </c>
      <c r="D4942" s="102">
        <v>0.20371374776661288</v>
      </c>
    </row>
    <row r="4943" spans="2:4" x14ac:dyDescent="0.25">
      <c r="B4943" s="61">
        <v>4910</v>
      </c>
      <c r="C4943" s="61">
        <v>99640.818545852322</v>
      </c>
      <c r="D4943" s="102">
        <v>0.14192191087085093</v>
      </c>
    </row>
    <row r="4944" spans="2:4" x14ac:dyDescent="0.25">
      <c r="B4944" s="61">
        <v>4911</v>
      </c>
      <c r="C4944" s="61">
        <v>332869.0246600844</v>
      </c>
      <c r="D4944" s="102">
        <v>0.39107364704826098</v>
      </c>
    </row>
    <row r="4945" spans="2:4" x14ac:dyDescent="0.25">
      <c r="B4945" s="61">
        <v>4912</v>
      </c>
      <c r="C4945" s="61">
        <v>235051.72977726767</v>
      </c>
      <c r="D4945" s="102">
        <v>0.21770037029383693</v>
      </c>
    </row>
    <row r="4946" spans="2:4" x14ac:dyDescent="0.25">
      <c r="B4946" s="61">
        <v>4913</v>
      </c>
      <c r="C4946" s="61">
        <v>79515.297755377949</v>
      </c>
      <c r="D4946" s="102">
        <v>0.12515665557183109</v>
      </c>
    </row>
    <row r="4947" spans="2:4" x14ac:dyDescent="0.25">
      <c r="B4947" s="61">
        <v>4914</v>
      </c>
      <c r="C4947" s="61">
        <v>278653.66780801595</v>
      </c>
      <c r="D4947" s="102">
        <v>0.28869085060405331</v>
      </c>
    </row>
    <row r="4948" spans="2:4" x14ac:dyDescent="0.25">
      <c r="B4948" s="61">
        <v>4915</v>
      </c>
      <c r="C4948" s="61">
        <v>202228.52996339556</v>
      </c>
      <c r="D4948" s="102">
        <v>0.19739919989659294</v>
      </c>
    </row>
    <row r="4949" spans="2:4" x14ac:dyDescent="0.25">
      <c r="B4949" s="61">
        <v>4916</v>
      </c>
      <c r="C4949" s="61">
        <v>291875.96202413109</v>
      </c>
      <c r="D4949" s="102">
        <v>0.29179081291010767</v>
      </c>
    </row>
    <row r="4950" spans="2:4" x14ac:dyDescent="0.25">
      <c r="B4950" s="61">
        <v>4917</v>
      </c>
      <c r="C4950" s="61">
        <v>39605.181002578815</v>
      </c>
      <c r="D4950" s="102">
        <v>9.8182496265917241E-2</v>
      </c>
    </row>
    <row r="4951" spans="2:4" x14ac:dyDescent="0.25">
      <c r="B4951" s="61">
        <v>4918</v>
      </c>
      <c r="C4951" s="61">
        <v>266098.54696262372</v>
      </c>
      <c r="D4951" s="102">
        <v>0.29785742424280959</v>
      </c>
    </row>
    <row r="4952" spans="2:4" x14ac:dyDescent="0.25">
      <c r="B4952" s="61">
        <v>4919</v>
      </c>
      <c r="C4952" s="61">
        <v>173174.2060894554</v>
      </c>
      <c r="D4952" s="102">
        <v>0.22079670133061691</v>
      </c>
    </row>
    <row r="4953" spans="2:4" x14ac:dyDescent="0.25">
      <c r="B4953" s="61">
        <v>4920</v>
      </c>
      <c r="C4953" s="61">
        <v>399140.29013303702</v>
      </c>
      <c r="D4953" s="102">
        <v>0.38807971091537863</v>
      </c>
    </row>
    <row r="4954" spans="2:4" x14ac:dyDescent="0.25">
      <c r="B4954" s="61">
        <v>4921</v>
      </c>
      <c r="C4954" s="61">
        <v>401005.78881111729</v>
      </c>
      <c r="D4954" s="102">
        <v>0.46996500721255274</v>
      </c>
    </row>
    <row r="4955" spans="2:4" x14ac:dyDescent="0.25">
      <c r="B4955" s="61">
        <v>4922</v>
      </c>
      <c r="C4955" s="61">
        <v>368135.98679976608</v>
      </c>
      <c r="D4955" s="102">
        <v>0.36684433433954533</v>
      </c>
    </row>
    <row r="4956" spans="2:4" x14ac:dyDescent="0.25">
      <c r="B4956" s="61">
        <v>4923</v>
      </c>
      <c r="C4956" s="61">
        <v>353592.39236181439</v>
      </c>
      <c r="D4956" s="102">
        <v>0.30272243125464549</v>
      </c>
    </row>
    <row r="4957" spans="2:4" x14ac:dyDescent="0.25">
      <c r="B4957" s="61">
        <v>4924</v>
      </c>
      <c r="C4957" s="61">
        <v>214041.02506690042</v>
      </c>
      <c r="D4957" s="102">
        <v>0.21982459029374724</v>
      </c>
    </row>
    <row r="4958" spans="2:4" x14ac:dyDescent="0.25">
      <c r="B4958" s="61">
        <v>4925</v>
      </c>
      <c r="C4958" s="61">
        <v>34524.654747597117</v>
      </c>
      <c r="D4958" s="102">
        <v>9.2887161870918833E-2</v>
      </c>
    </row>
    <row r="4959" spans="2:4" x14ac:dyDescent="0.25">
      <c r="B4959" s="61">
        <v>4926</v>
      </c>
      <c r="C4959" s="61">
        <v>215895.0523918852</v>
      </c>
      <c r="D4959" s="102">
        <v>0.23385292175405459</v>
      </c>
    </row>
    <row r="4960" spans="2:4" x14ac:dyDescent="0.25">
      <c r="B4960" s="61">
        <v>4927</v>
      </c>
      <c r="C4960" s="61">
        <v>541078.55434723373</v>
      </c>
      <c r="D4960" s="102">
        <v>0.48269455138586603</v>
      </c>
    </row>
    <row r="4961" spans="2:4" x14ac:dyDescent="0.25">
      <c r="B4961" s="61">
        <v>4928</v>
      </c>
      <c r="C4961" s="61">
        <v>85425.889258769341</v>
      </c>
      <c r="D4961" s="102">
        <v>0.13727687649766041</v>
      </c>
    </row>
    <row r="4962" spans="2:4" x14ac:dyDescent="0.25">
      <c r="B4962" s="61">
        <v>4929</v>
      </c>
      <c r="C4962" s="61">
        <v>198057.22292586823</v>
      </c>
      <c r="D4962" s="102">
        <v>0.23692779923420515</v>
      </c>
    </row>
    <row r="4963" spans="2:4" x14ac:dyDescent="0.25">
      <c r="B4963" s="61">
        <v>4930</v>
      </c>
      <c r="C4963" s="61">
        <v>95477.003055462847</v>
      </c>
      <c r="D4963" s="102">
        <v>0.16574487104863245</v>
      </c>
    </row>
    <row r="4964" spans="2:4" x14ac:dyDescent="0.25">
      <c r="B4964" s="61">
        <v>4931</v>
      </c>
      <c r="C4964" s="61">
        <v>147044.58950945036</v>
      </c>
      <c r="D4964" s="102">
        <v>0.2080788017955939</v>
      </c>
    </row>
    <row r="4965" spans="2:4" x14ac:dyDescent="0.25">
      <c r="B4965" s="61">
        <v>4932</v>
      </c>
      <c r="C4965" s="61">
        <v>382028.14104840951</v>
      </c>
      <c r="D4965" s="102">
        <v>0.3631873969952335</v>
      </c>
    </row>
    <row r="4966" spans="2:4" x14ac:dyDescent="0.25">
      <c r="B4966" s="61">
        <v>4933</v>
      </c>
      <c r="C4966" s="61">
        <v>160707.56192934071</v>
      </c>
      <c r="D4966" s="102">
        <v>0.20632885216842078</v>
      </c>
    </row>
    <row r="4967" spans="2:4" x14ac:dyDescent="0.25">
      <c r="B4967" s="61">
        <v>4934</v>
      </c>
      <c r="C4967" s="61">
        <v>546074.83884582587</v>
      </c>
      <c r="D4967" s="102">
        <v>0.52781682729588031</v>
      </c>
    </row>
    <row r="4968" spans="2:4" x14ac:dyDescent="0.25">
      <c r="B4968" s="61">
        <v>4935</v>
      </c>
      <c r="C4968" s="61">
        <v>274589.6153245219</v>
      </c>
      <c r="D4968" s="102">
        <v>0.24454619543281497</v>
      </c>
    </row>
    <row r="4969" spans="2:4" x14ac:dyDescent="0.25">
      <c r="B4969" s="61">
        <v>4936</v>
      </c>
      <c r="C4969" s="61">
        <v>291316.93848662381</v>
      </c>
      <c r="D4969" s="102">
        <v>0.27455733364259283</v>
      </c>
    </row>
    <row r="4970" spans="2:4" x14ac:dyDescent="0.25">
      <c r="B4970" s="61">
        <v>4937</v>
      </c>
      <c r="C4970" s="61">
        <v>125152.49003007781</v>
      </c>
      <c r="D4970" s="102">
        <v>0.14036785502923599</v>
      </c>
    </row>
    <row r="4971" spans="2:4" x14ac:dyDescent="0.25">
      <c r="B4971" s="61">
        <v>4938</v>
      </c>
      <c r="C4971" s="61">
        <v>175876.90056262421</v>
      </c>
      <c r="D4971" s="102">
        <v>0.19426164360809306</v>
      </c>
    </row>
    <row r="4972" spans="2:4" x14ac:dyDescent="0.25">
      <c r="B4972" s="61">
        <v>4939</v>
      </c>
      <c r="C4972" s="61">
        <v>387936.25417934696</v>
      </c>
      <c r="D4972" s="102">
        <v>0.40755158661483604</v>
      </c>
    </row>
    <row r="4973" spans="2:4" x14ac:dyDescent="0.25">
      <c r="B4973" s="61">
        <v>4940</v>
      </c>
      <c r="C4973" s="61">
        <v>302649.64120959165</v>
      </c>
      <c r="D4973" s="102">
        <v>0.27269023431619011</v>
      </c>
    </row>
    <row r="4974" spans="2:4" x14ac:dyDescent="0.25">
      <c r="B4974" s="61">
        <v>4941</v>
      </c>
      <c r="C4974" s="61">
        <v>183435.18153764005</v>
      </c>
      <c r="D4974" s="102">
        <v>0.19406941719537851</v>
      </c>
    </row>
    <row r="4975" spans="2:4" x14ac:dyDescent="0.25">
      <c r="B4975" s="61">
        <v>4942</v>
      </c>
      <c r="C4975" s="61">
        <v>296765.21109835699</v>
      </c>
      <c r="D4975" s="102">
        <v>0.27694311488638679</v>
      </c>
    </row>
    <row r="4976" spans="2:4" x14ac:dyDescent="0.25">
      <c r="B4976" s="61">
        <v>4943</v>
      </c>
      <c r="C4976" s="61">
        <v>469584.20808575745</v>
      </c>
      <c r="D4976" s="102">
        <v>0.35716332963965303</v>
      </c>
    </row>
    <row r="4977" spans="2:4" x14ac:dyDescent="0.25">
      <c r="B4977" s="61">
        <v>4944</v>
      </c>
      <c r="C4977" s="61">
        <v>391731.21399679314</v>
      </c>
      <c r="D4977" s="102">
        <v>0.35514815514323805</v>
      </c>
    </row>
    <row r="4978" spans="2:4" x14ac:dyDescent="0.25">
      <c r="B4978" s="61">
        <v>4945</v>
      </c>
      <c r="C4978" s="61">
        <v>231443.92399353534</v>
      </c>
      <c r="D4978" s="102">
        <v>0.22104208664911518</v>
      </c>
    </row>
    <row r="4979" spans="2:4" x14ac:dyDescent="0.25">
      <c r="B4979" s="61">
        <v>4946</v>
      </c>
      <c r="C4979" s="61">
        <v>238508.21638664708</v>
      </c>
      <c r="D4979" s="102">
        <v>0.2557405165116704</v>
      </c>
    </row>
    <row r="4980" spans="2:4" x14ac:dyDescent="0.25">
      <c r="B4980" s="61">
        <v>4947</v>
      </c>
      <c r="C4980" s="61">
        <v>265007.23637849442</v>
      </c>
      <c r="D4980" s="102">
        <v>0.31699424531966125</v>
      </c>
    </row>
    <row r="4981" spans="2:4" x14ac:dyDescent="0.25">
      <c r="B4981" s="61">
        <v>4948</v>
      </c>
      <c r="C4981" s="61">
        <v>-20894.027501014585</v>
      </c>
      <c r="D4981" s="102">
        <v>4.7889222291115585E-2</v>
      </c>
    </row>
    <row r="4982" spans="2:4" x14ac:dyDescent="0.25">
      <c r="B4982" s="61">
        <v>4949</v>
      </c>
      <c r="C4982" s="61">
        <v>236756.73545057373</v>
      </c>
      <c r="D4982" s="102">
        <v>0.27228034569720605</v>
      </c>
    </row>
    <row r="4983" spans="2:4" x14ac:dyDescent="0.25">
      <c r="B4983" s="61">
        <v>4950</v>
      </c>
      <c r="C4983" s="61">
        <v>497414.3098562822</v>
      </c>
      <c r="D4983" s="102">
        <v>0.48234028968263321</v>
      </c>
    </row>
    <row r="4984" spans="2:4" x14ac:dyDescent="0.25">
      <c r="B4984" s="61">
        <v>4951</v>
      </c>
      <c r="C4984" s="61">
        <v>237856.53833180876</v>
      </c>
      <c r="D4984" s="102">
        <v>0.24969072478752152</v>
      </c>
    </row>
    <row r="4985" spans="2:4" x14ac:dyDescent="0.25">
      <c r="B4985" s="61">
        <v>4952</v>
      </c>
      <c r="C4985" s="61">
        <v>458344.74606697413</v>
      </c>
      <c r="D4985" s="102">
        <v>0.42541199416162145</v>
      </c>
    </row>
    <row r="4986" spans="2:4" x14ac:dyDescent="0.25">
      <c r="B4986" s="61">
        <v>4953</v>
      </c>
      <c r="C4986" s="61">
        <v>380780.16002510558</v>
      </c>
      <c r="D4986" s="102">
        <v>0.32921677258831084</v>
      </c>
    </row>
    <row r="4987" spans="2:4" x14ac:dyDescent="0.25">
      <c r="B4987" s="61">
        <v>4954</v>
      </c>
      <c r="C4987" s="61">
        <v>-37230.511786156974</v>
      </c>
      <c r="D4987" s="102">
        <v>3.5162884997164134E-2</v>
      </c>
    </row>
    <row r="4988" spans="2:4" x14ac:dyDescent="0.25">
      <c r="B4988" s="61">
        <v>4955</v>
      </c>
      <c r="C4988" s="61">
        <v>257414.37920994242</v>
      </c>
      <c r="D4988" s="102">
        <v>0.2504048960412788</v>
      </c>
    </row>
    <row r="4989" spans="2:4" x14ac:dyDescent="0.25">
      <c r="B4989" s="61">
        <v>4956</v>
      </c>
      <c r="C4989" s="61">
        <v>84090.46214823128</v>
      </c>
      <c r="D4989" s="102">
        <v>0.12238913436301346</v>
      </c>
    </row>
    <row r="4990" spans="2:4" x14ac:dyDescent="0.25">
      <c r="B4990" s="61">
        <v>4957</v>
      </c>
      <c r="C4990" s="61">
        <v>306589.18171361985</v>
      </c>
      <c r="D4990" s="102">
        <v>0.3240960774447581</v>
      </c>
    </row>
    <row r="4991" spans="2:4" x14ac:dyDescent="0.25">
      <c r="B4991" s="61">
        <v>4958</v>
      </c>
      <c r="C4991" s="61">
        <v>346370.90985308425</v>
      </c>
      <c r="D4991" s="102">
        <v>0.33015816577972368</v>
      </c>
    </row>
    <row r="4992" spans="2:4" x14ac:dyDescent="0.25">
      <c r="B4992" s="61">
        <v>4959</v>
      </c>
      <c r="C4992" s="61">
        <v>391239.28095674131</v>
      </c>
      <c r="D4992" s="102">
        <v>0.36606354342282144</v>
      </c>
    </row>
    <row r="4993" spans="2:4" x14ac:dyDescent="0.25">
      <c r="B4993" s="61">
        <v>4960</v>
      </c>
      <c r="C4993" s="61">
        <v>272820.13863290253</v>
      </c>
      <c r="D4993" s="102">
        <v>0.35795929500687462</v>
      </c>
    </row>
    <row r="4994" spans="2:4" x14ac:dyDescent="0.25">
      <c r="B4994" s="61">
        <v>4961</v>
      </c>
      <c r="C4994" s="61">
        <v>251914.37915717205</v>
      </c>
      <c r="D4994" s="102">
        <v>0.21289208018261174</v>
      </c>
    </row>
    <row r="4995" spans="2:4" x14ac:dyDescent="0.25">
      <c r="B4995" s="61">
        <v>4962</v>
      </c>
      <c r="C4995" s="61">
        <v>169891.29926161573</v>
      </c>
      <c r="D4995" s="102">
        <v>0.17981302875434158</v>
      </c>
    </row>
    <row r="4996" spans="2:4" x14ac:dyDescent="0.25">
      <c r="B4996" s="61">
        <v>4963</v>
      </c>
      <c r="C4996" s="61">
        <v>470836.72774343612</v>
      </c>
      <c r="D4996" s="102">
        <v>0.44651992358715686</v>
      </c>
    </row>
    <row r="4997" spans="2:4" x14ac:dyDescent="0.25">
      <c r="B4997" s="61">
        <v>4964</v>
      </c>
      <c r="C4997" s="61">
        <v>232974.82828093972</v>
      </c>
      <c r="D4997" s="102">
        <v>0.23296232738370359</v>
      </c>
    </row>
    <row r="4998" spans="2:4" x14ac:dyDescent="0.25">
      <c r="B4998" s="61">
        <v>4965</v>
      </c>
      <c r="C4998" s="61">
        <v>158736.48839366774</v>
      </c>
      <c r="D4998" s="102">
        <v>0.21346226173270577</v>
      </c>
    </row>
    <row r="4999" spans="2:4" x14ac:dyDescent="0.25">
      <c r="B4999" s="61">
        <v>4966</v>
      </c>
      <c r="C4999" s="61">
        <v>317290.3184848862</v>
      </c>
      <c r="D4999" s="102">
        <v>0.29257083798217676</v>
      </c>
    </row>
    <row r="5000" spans="2:4" x14ac:dyDescent="0.25">
      <c r="B5000" s="61">
        <v>4967</v>
      </c>
      <c r="C5000" s="61">
        <v>126486.33674348058</v>
      </c>
      <c r="D5000" s="102">
        <v>0.16805271188579596</v>
      </c>
    </row>
    <row r="5001" spans="2:4" x14ac:dyDescent="0.25">
      <c r="B5001" s="61">
        <v>4968</v>
      </c>
      <c r="C5001" s="61">
        <v>201823.9395764767</v>
      </c>
      <c r="D5001" s="102">
        <v>0.19779497982914629</v>
      </c>
    </row>
    <row r="5002" spans="2:4" x14ac:dyDescent="0.25">
      <c r="B5002" s="61">
        <v>4969</v>
      </c>
      <c r="C5002" s="61">
        <v>294413.17746497795</v>
      </c>
      <c r="D5002" s="102">
        <v>0.271469894624639</v>
      </c>
    </row>
    <row r="5003" spans="2:4" x14ac:dyDescent="0.25">
      <c r="B5003" s="61">
        <v>4970</v>
      </c>
      <c r="C5003" s="61">
        <v>202758.92362524115</v>
      </c>
      <c r="D5003" s="102">
        <v>0.1852508369674537</v>
      </c>
    </row>
    <row r="5004" spans="2:4" x14ac:dyDescent="0.25">
      <c r="B5004" s="61">
        <v>4971</v>
      </c>
      <c r="C5004" s="61">
        <v>468239.98595428246</v>
      </c>
      <c r="D5004" s="102">
        <v>0.41062846018179955</v>
      </c>
    </row>
    <row r="5005" spans="2:4" x14ac:dyDescent="0.25">
      <c r="B5005" s="61">
        <v>4972</v>
      </c>
      <c r="C5005" s="61">
        <v>438197.86438128992</v>
      </c>
      <c r="D5005" s="102">
        <v>0.49937440788419196</v>
      </c>
    </row>
    <row r="5006" spans="2:4" x14ac:dyDescent="0.25">
      <c r="B5006" s="61">
        <v>4973</v>
      </c>
      <c r="C5006" s="61">
        <v>459359.02658795542</v>
      </c>
      <c r="D5006" s="102">
        <v>0.36141772633683145</v>
      </c>
    </row>
    <row r="5007" spans="2:4" x14ac:dyDescent="0.25">
      <c r="B5007" s="61">
        <v>4974</v>
      </c>
      <c r="C5007" s="61">
        <v>48255.998245591356</v>
      </c>
      <c r="D5007" s="102">
        <v>0.10684155955231356</v>
      </c>
    </row>
    <row r="5008" spans="2:4" x14ac:dyDescent="0.25">
      <c r="B5008" s="61">
        <v>4975</v>
      </c>
      <c r="C5008" s="61">
        <v>360172.54511797382</v>
      </c>
      <c r="D5008" s="102">
        <v>0.368562612816558</v>
      </c>
    </row>
    <row r="5009" spans="2:4" x14ac:dyDescent="0.25">
      <c r="B5009" s="61">
        <v>4976</v>
      </c>
      <c r="C5009" s="61">
        <v>372163.63583536341</v>
      </c>
      <c r="D5009" s="102">
        <v>0.35217413599764069</v>
      </c>
    </row>
    <row r="5010" spans="2:4" x14ac:dyDescent="0.25">
      <c r="B5010" s="61">
        <v>4977</v>
      </c>
      <c r="C5010" s="61">
        <v>226643.11833329173</v>
      </c>
      <c r="D5010" s="102">
        <v>0.24335525856312468</v>
      </c>
    </row>
    <row r="5011" spans="2:4" x14ac:dyDescent="0.25">
      <c r="B5011" s="61">
        <v>4978</v>
      </c>
      <c r="C5011" s="61">
        <v>447388.63203627581</v>
      </c>
      <c r="D5011" s="102">
        <v>0.36793758126905129</v>
      </c>
    </row>
    <row r="5012" spans="2:4" x14ac:dyDescent="0.25">
      <c r="B5012" s="61">
        <v>4979</v>
      </c>
      <c r="C5012" s="61">
        <v>393087.55988356587</v>
      </c>
      <c r="D5012" s="102">
        <v>0.32660104129133316</v>
      </c>
    </row>
    <row r="5013" spans="2:4" x14ac:dyDescent="0.25">
      <c r="B5013" s="61">
        <v>4980</v>
      </c>
      <c r="C5013" s="61">
        <v>205430.65714565327</v>
      </c>
      <c r="D5013" s="102">
        <v>0.19817078174409031</v>
      </c>
    </row>
    <row r="5014" spans="2:4" x14ac:dyDescent="0.25">
      <c r="B5014" s="61">
        <v>4981</v>
      </c>
      <c r="C5014" s="61">
        <v>352342.21978285024</v>
      </c>
      <c r="D5014" s="102">
        <v>0.32191994572857952</v>
      </c>
    </row>
    <row r="5015" spans="2:4" x14ac:dyDescent="0.25">
      <c r="B5015" s="61">
        <v>4982</v>
      </c>
      <c r="C5015" s="61">
        <v>97057.006524517084</v>
      </c>
      <c r="D5015" s="102">
        <v>0.14404768444213056</v>
      </c>
    </row>
    <row r="5016" spans="2:4" x14ac:dyDescent="0.25">
      <c r="B5016" s="61">
        <v>4983</v>
      </c>
      <c r="C5016" s="61">
        <v>129247.40117146663</v>
      </c>
      <c r="D5016" s="102">
        <v>0.19412036543800082</v>
      </c>
    </row>
    <row r="5017" spans="2:4" x14ac:dyDescent="0.25">
      <c r="B5017" s="61">
        <v>4984</v>
      </c>
      <c r="C5017" s="61">
        <v>105321.66276368697</v>
      </c>
      <c r="D5017" s="102">
        <v>0.13715603256188302</v>
      </c>
    </row>
    <row r="5018" spans="2:4" x14ac:dyDescent="0.25">
      <c r="B5018" s="61">
        <v>4985</v>
      </c>
      <c r="C5018" s="61">
        <v>88942.549564452842</v>
      </c>
      <c r="D5018" s="102">
        <v>0.12038583940547132</v>
      </c>
    </row>
    <row r="5019" spans="2:4" x14ac:dyDescent="0.25">
      <c r="B5019" s="61">
        <v>4986</v>
      </c>
      <c r="C5019" s="61">
        <v>220473.53167325107</v>
      </c>
      <c r="D5019" s="102">
        <v>0.26881745791932499</v>
      </c>
    </row>
    <row r="5020" spans="2:4" x14ac:dyDescent="0.25">
      <c r="B5020" s="61">
        <v>4987</v>
      </c>
      <c r="C5020" s="61">
        <v>263092.76267462852</v>
      </c>
      <c r="D5020" s="102">
        <v>0.25713192388499739</v>
      </c>
    </row>
    <row r="5021" spans="2:4" x14ac:dyDescent="0.25">
      <c r="B5021" s="61">
        <v>4988</v>
      </c>
      <c r="C5021" s="61">
        <v>339037.08520018042</v>
      </c>
      <c r="D5021" s="102">
        <v>0.33078294369655725</v>
      </c>
    </row>
    <row r="5022" spans="2:4" x14ac:dyDescent="0.25">
      <c r="B5022" s="61">
        <v>4989</v>
      </c>
      <c r="C5022" s="61">
        <v>224912.50700459641</v>
      </c>
      <c r="D5022" s="102">
        <v>0.22596972763653866</v>
      </c>
    </row>
    <row r="5023" spans="2:4" x14ac:dyDescent="0.25">
      <c r="B5023" s="61">
        <v>4990</v>
      </c>
      <c r="C5023" s="61">
        <v>168301.85107444623</v>
      </c>
      <c r="D5023" s="102">
        <v>0.19955596844139367</v>
      </c>
    </row>
    <row r="5024" spans="2:4" x14ac:dyDescent="0.25">
      <c r="B5024" s="61">
        <v>4991</v>
      </c>
      <c r="C5024" s="61">
        <v>203729.90966896107</v>
      </c>
      <c r="D5024" s="102">
        <v>0.20422839485843647</v>
      </c>
    </row>
    <row r="5025" spans="2:4" x14ac:dyDescent="0.25">
      <c r="B5025" s="61">
        <v>4992</v>
      </c>
      <c r="C5025" s="61">
        <v>409424.27439537738</v>
      </c>
      <c r="D5025" s="102">
        <v>0.32719065171918205</v>
      </c>
    </row>
    <row r="5026" spans="2:4" x14ac:dyDescent="0.25">
      <c r="B5026" s="61">
        <v>4993</v>
      </c>
      <c r="C5026" s="61">
        <v>309845.18098367716</v>
      </c>
      <c r="D5026" s="102">
        <v>0.31105798670422979</v>
      </c>
    </row>
    <row r="5027" spans="2:4" x14ac:dyDescent="0.25">
      <c r="B5027" s="61">
        <v>4994</v>
      </c>
      <c r="C5027" s="61">
        <v>395152.38631885615</v>
      </c>
      <c r="D5027" s="102">
        <v>0.35702870950971444</v>
      </c>
    </row>
    <row r="5028" spans="2:4" x14ac:dyDescent="0.25">
      <c r="B5028" s="61">
        <v>4995</v>
      </c>
      <c r="C5028" s="61">
        <v>261418.4417725635</v>
      </c>
      <c r="D5028" s="102">
        <v>0.30006850398142149</v>
      </c>
    </row>
    <row r="5029" spans="2:4" x14ac:dyDescent="0.25">
      <c r="B5029" s="61">
        <v>4996</v>
      </c>
      <c r="C5029" s="61">
        <v>398649.04508919537</v>
      </c>
      <c r="D5029" s="102">
        <v>0.35727055103870109</v>
      </c>
    </row>
    <row r="5030" spans="2:4" x14ac:dyDescent="0.25">
      <c r="B5030" s="61">
        <v>4997</v>
      </c>
      <c r="C5030" s="61">
        <v>410847.37371446961</v>
      </c>
      <c r="D5030" s="102">
        <v>0.35351602550135208</v>
      </c>
    </row>
    <row r="5031" spans="2:4" x14ac:dyDescent="0.25">
      <c r="B5031" s="61">
        <v>4998</v>
      </c>
      <c r="C5031" s="61">
        <v>105913.91383539833</v>
      </c>
      <c r="D5031" s="102">
        <v>0.14746496568867928</v>
      </c>
    </row>
    <row r="5032" spans="2:4" x14ac:dyDescent="0.25">
      <c r="B5032" s="61">
        <v>4999</v>
      </c>
      <c r="C5032" s="61">
        <v>571658.2740656453</v>
      </c>
      <c r="D5032" s="102">
        <v>0.55303632011531256</v>
      </c>
    </row>
    <row r="5033" spans="2:4" x14ac:dyDescent="0.25">
      <c r="B5033" s="61">
        <v>5000</v>
      </c>
      <c r="C5033" s="61">
        <v>203348.97569571552</v>
      </c>
      <c r="D5033" s="102">
        <v>0.23413439613142306</v>
      </c>
    </row>
    <row r="5034" spans="2:4" x14ac:dyDescent="0.25">
      <c r="D5034" s="102"/>
    </row>
    <row r="5035" spans="2:4" x14ac:dyDescent="0.25">
      <c r="D5035" s="102"/>
    </row>
    <row r="5036" spans="2:4" x14ac:dyDescent="0.25">
      <c r="D5036" s="102"/>
    </row>
    <row r="5037" spans="2:4" x14ac:dyDescent="0.25">
      <c r="D5037" s="102"/>
    </row>
    <row r="5038" spans="2:4" x14ac:dyDescent="0.25">
      <c r="D5038" s="102"/>
    </row>
    <row r="5039" spans="2:4" x14ac:dyDescent="0.25">
      <c r="D5039" s="102"/>
    </row>
    <row r="5040" spans="2:4" x14ac:dyDescent="0.25">
      <c r="D5040" s="102"/>
    </row>
    <row r="5041" spans="4:4" x14ac:dyDescent="0.25">
      <c r="D5041" s="102"/>
    </row>
    <row r="5042" spans="4:4" x14ac:dyDescent="0.25">
      <c r="D5042" s="102"/>
    </row>
    <row r="5043" spans="4:4" x14ac:dyDescent="0.25">
      <c r="D5043" s="102"/>
    </row>
    <row r="5044" spans="4:4" x14ac:dyDescent="0.25">
      <c r="D5044" s="102"/>
    </row>
    <row r="5045" spans="4:4" x14ac:dyDescent="0.25">
      <c r="D5045" s="102"/>
    </row>
    <row r="5046" spans="4:4" x14ac:dyDescent="0.25">
      <c r="D5046" s="102"/>
    </row>
    <row r="5047" spans="4:4" x14ac:dyDescent="0.25">
      <c r="D5047" s="102"/>
    </row>
    <row r="5048" spans="4:4" x14ac:dyDescent="0.25">
      <c r="D5048" s="102"/>
    </row>
    <row r="5049" spans="4:4" x14ac:dyDescent="0.25">
      <c r="D5049" s="102"/>
    </row>
    <row r="5050" spans="4:4" x14ac:dyDescent="0.25">
      <c r="D5050" s="102"/>
    </row>
    <row r="5051" spans="4:4" x14ac:dyDescent="0.25">
      <c r="D5051" s="102"/>
    </row>
    <row r="5052" spans="4:4" x14ac:dyDescent="0.25">
      <c r="D5052" s="102"/>
    </row>
    <row r="5053" spans="4:4" x14ac:dyDescent="0.25">
      <c r="D5053" s="102"/>
    </row>
    <row r="5054" spans="4:4" x14ac:dyDescent="0.25">
      <c r="D5054" s="102"/>
    </row>
    <row r="5055" spans="4:4" x14ac:dyDescent="0.25">
      <c r="D5055" s="102"/>
    </row>
    <row r="5056" spans="4:4" x14ac:dyDescent="0.25">
      <c r="D5056" s="102"/>
    </row>
    <row r="5057" spans="4:4" x14ac:dyDescent="0.25">
      <c r="D5057" s="102"/>
    </row>
    <row r="5058" spans="4:4" x14ac:dyDescent="0.25">
      <c r="D5058" s="102"/>
    </row>
    <row r="5059" spans="4:4" x14ac:dyDescent="0.25">
      <c r="D5059" s="102"/>
    </row>
    <row r="5060" spans="4:4" x14ac:dyDescent="0.25">
      <c r="D5060" s="102"/>
    </row>
    <row r="5061" spans="4:4" x14ac:dyDescent="0.25">
      <c r="D5061" s="102"/>
    </row>
    <row r="5062" spans="4:4" x14ac:dyDescent="0.25">
      <c r="D5062" s="102"/>
    </row>
    <row r="5063" spans="4:4" x14ac:dyDescent="0.25">
      <c r="D5063" s="102"/>
    </row>
    <row r="5064" spans="4:4" x14ac:dyDescent="0.25">
      <c r="D5064" s="102"/>
    </row>
    <row r="5065" spans="4:4" x14ac:dyDescent="0.25">
      <c r="D5065" s="102"/>
    </row>
    <row r="5066" spans="4:4" x14ac:dyDescent="0.25">
      <c r="D5066" s="102"/>
    </row>
    <row r="5067" spans="4:4" x14ac:dyDescent="0.25">
      <c r="D5067" s="102"/>
    </row>
    <row r="5068" spans="4:4" x14ac:dyDescent="0.25">
      <c r="D5068" s="102"/>
    </row>
    <row r="5069" spans="4:4" x14ac:dyDescent="0.25">
      <c r="D5069" s="102"/>
    </row>
    <row r="5070" spans="4:4" x14ac:dyDescent="0.25">
      <c r="D5070" s="102"/>
    </row>
    <row r="5071" spans="4:4" x14ac:dyDescent="0.25">
      <c r="D5071" s="102"/>
    </row>
    <row r="5072" spans="4:4" x14ac:dyDescent="0.25">
      <c r="D5072" s="102"/>
    </row>
    <row r="5073" spans="4:4" x14ac:dyDescent="0.25">
      <c r="D5073" s="102"/>
    </row>
    <row r="5074" spans="4:4" x14ac:dyDescent="0.25">
      <c r="D5074" s="102"/>
    </row>
    <row r="5075" spans="4:4" x14ac:dyDescent="0.25">
      <c r="D5075" s="102"/>
    </row>
    <row r="5076" spans="4:4" x14ac:dyDescent="0.25">
      <c r="D5076" s="102"/>
    </row>
    <row r="5077" spans="4:4" x14ac:dyDescent="0.25">
      <c r="D5077" s="102"/>
    </row>
    <row r="5078" spans="4:4" x14ac:dyDescent="0.25">
      <c r="D5078" s="102"/>
    </row>
    <row r="5079" spans="4:4" x14ac:dyDescent="0.25">
      <c r="D5079" s="102"/>
    </row>
    <row r="5080" spans="4:4" x14ac:dyDescent="0.25">
      <c r="D5080" s="102"/>
    </row>
    <row r="5081" spans="4:4" x14ac:dyDescent="0.25">
      <c r="D5081" s="102"/>
    </row>
    <row r="5082" spans="4:4" x14ac:dyDescent="0.25">
      <c r="D5082" s="102"/>
    </row>
    <row r="5083" spans="4:4" x14ac:dyDescent="0.25">
      <c r="D5083" s="102"/>
    </row>
    <row r="5084" spans="4:4" x14ac:dyDescent="0.25">
      <c r="D5084" s="102"/>
    </row>
    <row r="5085" spans="4:4" x14ac:dyDescent="0.25">
      <c r="D5085" s="102"/>
    </row>
    <row r="5086" spans="4:4" x14ac:dyDescent="0.25">
      <c r="D5086" s="102"/>
    </row>
    <row r="5087" spans="4:4" x14ac:dyDescent="0.25">
      <c r="D5087" s="102"/>
    </row>
    <row r="5088" spans="4:4" x14ac:dyDescent="0.25">
      <c r="D5088" s="102"/>
    </row>
    <row r="5089" spans="4:4" x14ac:dyDescent="0.25">
      <c r="D5089" s="102"/>
    </row>
    <row r="5090" spans="4:4" x14ac:dyDescent="0.25">
      <c r="D5090" s="102"/>
    </row>
    <row r="5091" spans="4:4" x14ac:dyDescent="0.25">
      <c r="D5091" s="102"/>
    </row>
    <row r="5092" spans="4:4" x14ac:dyDescent="0.25">
      <c r="D5092" s="102"/>
    </row>
    <row r="5093" spans="4:4" x14ac:dyDescent="0.25">
      <c r="D5093" s="102"/>
    </row>
    <row r="5094" spans="4:4" x14ac:dyDescent="0.25">
      <c r="D5094" s="102"/>
    </row>
    <row r="5095" spans="4:4" x14ac:dyDescent="0.25">
      <c r="D5095" s="102"/>
    </row>
    <row r="5096" spans="4:4" x14ac:dyDescent="0.25">
      <c r="D5096" s="102"/>
    </row>
    <row r="5097" spans="4:4" x14ac:dyDescent="0.25">
      <c r="D5097" s="102"/>
    </row>
    <row r="5098" spans="4:4" x14ac:dyDescent="0.25">
      <c r="D5098" s="102"/>
    </row>
    <row r="5099" spans="4:4" x14ac:dyDescent="0.25">
      <c r="D5099" s="102"/>
    </row>
    <row r="5100" spans="4:4" x14ac:dyDescent="0.25">
      <c r="D5100" s="102"/>
    </row>
    <row r="5101" spans="4:4" x14ac:dyDescent="0.25">
      <c r="D5101" s="102"/>
    </row>
    <row r="5102" spans="4:4" x14ac:dyDescent="0.25">
      <c r="D5102" s="102"/>
    </row>
    <row r="5103" spans="4:4" x14ac:dyDescent="0.25">
      <c r="D5103" s="102"/>
    </row>
    <row r="5104" spans="4:4" x14ac:dyDescent="0.25">
      <c r="D5104" s="102"/>
    </row>
    <row r="5105" spans="4:4" x14ac:dyDescent="0.25">
      <c r="D5105" s="102"/>
    </row>
    <row r="5106" spans="4:4" x14ac:dyDescent="0.25">
      <c r="D5106" s="102"/>
    </row>
    <row r="5107" spans="4:4" x14ac:dyDescent="0.25">
      <c r="D5107" s="102"/>
    </row>
    <row r="5108" spans="4:4" x14ac:dyDescent="0.25">
      <c r="D5108" s="102"/>
    </row>
    <row r="5109" spans="4:4" x14ac:dyDescent="0.25">
      <c r="D5109" s="102"/>
    </row>
    <row r="5110" spans="4:4" x14ac:dyDescent="0.25">
      <c r="D5110" s="102"/>
    </row>
    <row r="5111" spans="4:4" x14ac:dyDescent="0.25">
      <c r="D5111" s="102"/>
    </row>
    <row r="5112" spans="4:4" x14ac:dyDescent="0.25">
      <c r="D5112" s="102"/>
    </row>
    <row r="5113" spans="4:4" x14ac:dyDescent="0.25">
      <c r="D5113" s="102"/>
    </row>
    <row r="5114" spans="4:4" x14ac:dyDescent="0.25">
      <c r="D5114" s="102"/>
    </row>
    <row r="5115" spans="4:4" x14ac:dyDescent="0.25">
      <c r="D5115" s="102"/>
    </row>
    <row r="5116" spans="4:4" x14ac:dyDescent="0.25">
      <c r="D5116" s="102"/>
    </row>
    <row r="5117" spans="4:4" x14ac:dyDescent="0.25">
      <c r="D5117" s="102"/>
    </row>
    <row r="5118" spans="4:4" x14ac:dyDescent="0.25">
      <c r="D5118" s="102"/>
    </row>
    <row r="5119" spans="4:4" x14ac:dyDescent="0.25">
      <c r="D5119" s="102"/>
    </row>
    <row r="5120" spans="4:4" x14ac:dyDescent="0.25">
      <c r="D5120" s="102"/>
    </row>
    <row r="5121" spans="4:4" x14ac:dyDescent="0.25">
      <c r="D5121" s="102"/>
    </row>
    <row r="5122" spans="4:4" x14ac:dyDescent="0.25">
      <c r="D5122" s="102"/>
    </row>
    <row r="5123" spans="4:4" x14ac:dyDescent="0.25">
      <c r="D5123" s="102"/>
    </row>
    <row r="5124" spans="4:4" x14ac:dyDescent="0.25">
      <c r="D5124" s="102"/>
    </row>
    <row r="5125" spans="4:4" x14ac:dyDescent="0.25">
      <c r="D5125" s="102"/>
    </row>
    <row r="5126" spans="4:4" x14ac:dyDescent="0.25">
      <c r="D5126" s="102"/>
    </row>
    <row r="5127" spans="4:4" x14ac:dyDescent="0.25">
      <c r="D5127" s="102"/>
    </row>
    <row r="5128" spans="4:4" x14ac:dyDescent="0.25">
      <c r="D5128" s="102"/>
    </row>
    <row r="5129" spans="4:4" x14ac:dyDescent="0.25">
      <c r="D5129" s="102"/>
    </row>
    <row r="5130" spans="4:4" x14ac:dyDescent="0.25">
      <c r="D5130" s="102"/>
    </row>
    <row r="5131" spans="4:4" x14ac:dyDescent="0.25">
      <c r="D5131" s="102"/>
    </row>
    <row r="5132" spans="4:4" x14ac:dyDescent="0.25">
      <c r="D5132" s="102"/>
    </row>
    <row r="5133" spans="4:4" x14ac:dyDescent="0.25">
      <c r="D5133" s="102"/>
    </row>
    <row r="5134" spans="4:4" x14ac:dyDescent="0.25">
      <c r="D5134" s="102"/>
    </row>
    <row r="5135" spans="4:4" x14ac:dyDescent="0.25">
      <c r="D5135" s="102"/>
    </row>
    <row r="5136" spans="4:4" x14ac:dyDescent="0.25">
      <c r="D5136" s="102"/>
    </row>
    <row r="5137" spans="4:4" x14ac:dyDescent="0.25">
      <c r="D5137" s="102"/>
    </row>
    <row r="5138" spans="4:4" x14ac:dyDescent="0.25">
      <c r="D5138" s="102"/>
    </row>
    <row r="5139" spans="4:4" x14ac:dyDescent="0.25">
      <c r="D5139" s="102"/>
    </row>
    <row r="5140" spans="4:4" x14ac:dyDescent="0.25">
      <c r="D5140" s="102"/>
    </row>
    <row r="5141" spans="4:4" x14ac:dyDescent="0.25">
      <c r="D5141" s="102"/>
    </row>
    <row r="5142" spans="4:4" x14ac:dyDescent="0.25">
      <c r="D5142" s="102"/>
    </row>
    <row r="5143" spans="4:4" x14ac:dyDescent="0.25">
      <c r="D5143" s="102"/>
    </row>
    <row r="5144" spans="4:4" x14ac:dyDescent="0.25">
      <c r="D5144" s="102"/>
    </row>
    <row r="5145" spans="4:4" x14ac:dyDescent="0.25">
      <c r="D5145" s="102"/>
    </row>
    <row r="5146" spans="4:4" x14ac:dyDescent="0.25">
      <c r="D5146" s="102"/>
    </row>
    <row r="5147" spans="4:4" x14ac:dyDescent="0.25">
      <c r="D5147" s="102"/>
    </row>
    <row r="5148" spans="4:4" x14ac:dyDescent="0.25">
      <c r="D5148" s="102"/>
    </row>
    <row r="5149" spans="4:4" x14ac:dyDescent="0.25">
      <c r="D5149" s="102"/>
    </row>
    <row r="5150" spans="4:4" x14ac:dyDescent="0.25">
      <c r="D5150" s="102"/>
    </row>
    <row r="5151" spans="4:4" x14ac:dyDescent="0.25">
      <c r="D5151" s="102"/>
    </row>
    <row r="5152" spans="4:4" x14ac:dyDescent="0.25">
      <c r="D5152" s="102"/>
    </row>
    <row r="5153" spans="4:4" x14ac:dyDescent="0.25">
      <c r="D5153" s="102"/>
    </row>
    <row r="5154" spans="4:4" x14ac:dyDescent="0.25">
      <c r="D5154" s="102"/>
    </row>
    <row r="5155" spans="4:4" x14ac:dyDescent="0.25">
      <c r="D5155" s="102"/>
    </row>
    <row r="5156" spans="4:4" x14ac:dyDescent="0.25">
      <c r="D5156" s="102"/>
    </row>
    <row r="5157" spans="4:4" x14ac:dyDescent="0.25">
      <c r="D5157" s="102"/>
    </row>
    <row r="5158" spans="4:4" x14ac:dyDescent="0.25">
      <c r="D5158" s="102"/>
    </row>
    <row r="5159" spans="4:4" x14ac:dyDescent="0.25">
      <c r="D5159" s="102"/>
    </row>
    <row r="5160" spans="4:4" x14ac:dyDescent="0.25">
      <c r="D5160" s="102"/>
    </row>
    <row r="5161" spans="4:4" x14ac:dyDescent="0.25">
      <c r="D5161" s="102"/>
    </row>
    <row r="5162" spans="4:4" x14ac:dyDescent="0.25">
      <c r="D5162" s="102"/>
    </row>
    <row r="5163" spans="4:4" x14ac:dyDescent="0.25">
      <c r="D5163" s="102"/>
    </row>
    <row r="5164" spans="4:4" x14ac:dyDescent="0.25">
      <c r="D5164" s="102"/>
    </row>
    <row r="5165" spans="4:4" x14ac:dyDescent="0.25">
      <c r="D5165" s="102"/>
    </row>
    <row r="5166" spans="4:4" x14ac:dyDescent="0.25">
      <c r="D5166" s="102"/>
    </row>
    <row r="5167" spans="4:4" x14ac:dyDescent="0.25">
      <c r="D5167" s="102"/>
    </row>
    <row r="5168" spans="4:4" x14ac:dyDescent="0.25">
      <c r="D5168" s="102"/>
    </row>
    <row r="5169" spans="4:4" x14ac:dyDescent="0.25">
      <c r="D5169" s="102"/>
    </row>
    <row r="5170" spans="4:4" x14ac:dyDescent="0.25">
      <c r="D5170" s="102"/>
    </row>
    <row r="5171" spans="4:4" x14ac:dyDescent="0.25">
      <c r="D5171" s="102"/>
    </row>
    <row r="5172" spans="4:4" x14ac:dyDescent="0.25">
      <c r="D5172" s="102"/>
    </row>
    <row r="5173" spans="4:4" x14ac:dyDescent="0.25">
      <c r="D5173" s="102"/>
    </row>
    <row r="5174" spans="4:4" x14ac:dyDescent="0.25">
      <c r="D5174" s="102"/>
    </row>
    <row r="5175" spans="4:4" x14ac:dyDescent="0.25">
      <c r="D5175" s="102"/>
    </row>
    <row r="5176" spans="4:4" x14ac:dyDescent="0.25">
      <c r="D5176" s="102"/>
    </row>
    <row r="5177" spans="4:4" x14ac:dyDescent="0.25">
      <c r="D5177" s="102"/>
    </row>
    <row r="5178" spans="4:4" x14ac:dyDescent="0.25">
      <c r="D5178" s="102"/>
    </row>
    <row r="5179" spans="4:4" x14ac:dyDescent="0.25">
      <c r="D5179" s="102"/>
    </row>
    <row r="5180" spans="4:4" x14ac:dyDescent="0.25">
      <c r="D5180" s="102"/>
    </row>
    <row r="5181" spans="4:4" x14ac:dyDescent="0.25">
      <c r="D5181" s="102"/>
    </row>
    <row r="5182" spans="4:4" x14ac:dyDescent="0.25">
      <c r="D5182" s="102"/>
    </row>
    <row r="5183" spans="4:4" x14ac:dyDescent="0.25">
      <c r="D5183" s="102"/>
    </row>
    <row r="5184" spans="4:4" x14ac:dyDescent="0.25">
      <c r="D5184" s="102"/>
    </row>
    <row r="5185" spans="4:4" x14ac:dyDescent="0.25">
      <c r="D5185" s="102"/>
    </row>
    <row r="5186" spans="4:4" x14ac:dyDescent="0.25">
      <c r="D5186" s="102"/>
    </row>
    <row r="5187" spans="4:4" x14ac:dyDescent="0.25">
      <c r="D5187" s="102"/>
    </row>
    <row r="5188" spans="4:4" x14ac:dyDescent="0.25">
      <c r="D5188" s="102"/>
    </row>
    <row r="5189" spans="4:4" x14ac:dyDescent="0.25">
      <c r="D5189" s="102"/>
    </row>
    <row r="5190" spans="4:4" x14ac:dyDescent="0.25">
      <c r="D5190" s="102"/>
    </row>
    <row r="5191" spans="4:4" x14ac:dyDescent="0.25">
      <c r="D5191" s="102"/>
    </row>
    <row r="5192" spans="4:4" x14ac:dyDescent="0.25">
      <c r="D5192" s="102"/>
    </row>
    <row r="5193" spans="4:4" x14ac:dyDescent="0.25">
      <c r="D5193" s="102"/>
    </row>
    <row r="5194" spans="4:4" x14ac:dyDescent="0.25">
      <c r="D5194" s="102"/>
    </row>
    <row r="5195" spans="4:4" x14ac:dyDescent="0.25">
      <c r="D5195" s="102"/>
    </row>
    <row r="5196" spans="4:4" x14ac:dyDescent="0.25">
      <c r="D5196" s="102"/>
    </row>
    <row r="5197" spans="4:4" x14ac:dyDescent="0.25">
      <c r="D5197" s="102"/>
    </row>
    <row r="5198" spans="4:4" x14ac:dyDescent="0.25">
      <c r="D5198" s="102"/>
    </row>
    <row r="5199" spans="4:4" x14ac:dyDescent="0.25">
      <c r="D5199" s="102"/>
    </row>
    <row r="5200" spans="4:4" x14ac:dyDescent="0.25">
      <c r="D5200" s="102"/>
    </row>
    <row r="5201" spans="4:4" x14ac:dyDescent="0.25">
      <c r="D5201" s="102"/>
    </row>
    <row r="5202" spans="4:4" x14ac:dyDescent="0.25">
      <c r="D5202" s="102"/>
    </row>
    <row r="5203" spans="4:4" x14ac:dyDescent="0.25">
      <c r="D5203" s="102"/>
    </row>
    <row r="5204" spans="4:4" x14ac:dyDescent="0.25">
      <c r="D5204" s="102"/>
    </row>
    <row r="5205" spans="4:4" x14ac:dyDescent="0.25">
      <c r="D5205" s="102"/>
    </row>
    <row r="5206" spans="4:4" x14ac:dyDescent="0.25">
      <c r="D5206" s="102"/>
    </row>
    <row r="5207" spans="4:4" x14ac:dyDescent="0.25">
      <c r="D5207" s="102"/>
    </row>
    <row r="5208" spans="4:4" x14ac:dyDescent="0.25">
      <c r="D5208" s="102"/>
    </row>
    <row r="5209" spans="4:4" x14ac:dyDescent="0.25">
      <c r="D5209" s="102"/>
    </row>
    <row r="5210" spans="4:4" x14ac:dyDescent="0.25">
      <c r="D5210" s="102"/>
    </row>
    <row r="5211" spans="4:4" x14ac:dyDescent="0.25">
      <c r="D5211" s="102"/>
    </row>
    <row r="5212" spans="4:4" x14ac:dyDescent="0.25">
      <c r="D5212" s="102"/>
    </row>
    <row r="5213" spans="4:4" x14ac:dyDescent="0.25">
      <c r="D5213" s="102"/>
    </row>
    <row r="5214" spans="4:4" x14ac:dyDescent="0.25">
      <c r="D5214" s="102"/>
    </row>
    <row r="5215" spans="4:4" x14ac:dyDescent="0.25">
      <c r="D5215" s="102"/>
    </row>
    <row r="5216" spans="4:4" x14ac:dyDescent="0.25">
      <c r="D5216" s="102"/>
    </row>
    <row r="5217" spans="4:4" x14ac:dyDescent="0.25">
      <c r="D5217" s="102"/>
    </row>
    <row r="5218" spans="4:4" x14ac:dyDescent="0.25">
      <c r="D5218" s="102"/>
    </row>
    <row r="5219" spans="4:4" x14ac:dyDescent="0.25">
      <c r="D5219" s="102"/>
    </row>
    <row r="5220" spans="4:4" x14ac:dyDescent="0.25">
      <c r="D5220" s="102"/>
    </row>
    <row r="5221" spans="4:4" x14ac:dyDescent="0.25">
      <c r="D5221" s="102"/>
    </row>
    <row r="5222" spans="4:4" x14ac:dyDescent="0.25">
      <c r="D5222" s="102"/>
    </row>
    <row r="5223" spans="4:4" x14ac:dyDescent="0.25">
      <c r="D5223" s="102"/>
    </row>
    <row r="5224" spans="4:4" x14ac:dyDescent="0.25">
      <c r="D5224" s="102"/>
    </row>
    <row r="5225" spans="4:4" x14ac:dyDescent="0.25">
      <c r="D5225" s="102"/>
    </row>
    <row r="5226" spans="4:4" x14ac:dyDescent="0.25">
      <c r="D5226" s="102"/>
    </row>
    <row r="5227" spans="4:4" x14ac:dyDescent="0.25">
      <c r="D5227" s="102"/>
    </row>
    <row r="5228" spans="4:4" x14ac:dyDescent="0.25">
      <c r="D5228" s="102"/>
    </row>
    <row r="5229" spans="4:4" x14ac:dyDescent="0.25">
      <c r="D5229" s="102"/>
    </row>
    <row r="5230" spans="4:4" x14ac:dyDescent="0.25">
      <c r="D5230" s="102"/>
    </row>
    <row r="5231" spans="4:4" x14ac:dyDescent="0.25">
      <c r="D5231" s="102"/>
    </row>
    <row r="5232" spans="4:4" x14ac:dyDescent="0.25">
      <c r="D5232" s="102"/>
    </row>
    <row r="5233" spans="4:4" x14ac:dyDescent="0.25">
      <c r="D5233" s="102"/>
    </row>
    <row r="5234" spans="4:4" x14ac:dyDescent="0.25">
      <c r="D5234" s="102"/>
    </row>
    <row r="5235" spans="4:4" x14ac:dyDescent="0.25">
      <c r="D5235" s="102"/>
    </row>
    <row r="5236" spans="4:4" x14ac:dyDescent="0.25">
      <c r="D5236" s="102"/>
    </row>
    <row r="5237" spans="4:4" x14ac:dyDescent="0.25">
      <c r="D5237" s="102"/>
    </row>
    <row r="5238" spans="4:4" x14ac:dyDescent="0.25">
      <c r="D5238" s="102"/>
    </row>
    <row r="5239" spans="4:4" x14ac:dyDescent="0.25">
      <c r="D5239" s="102"/>
    </row>
    <row r="5240" spans="4:4" x14ac:dyDescent="0.25">
      <c r="D5240" s="102"/>
    </row>
    <row r="5241" spans="4:4" x14ac:dyDescent="0.25">
      <c r="D5241" s="102"/>
    </row>
    <row r="5242" spans="4:4" x14ac:dyDescent="0.25">
      <c r="D5242" s="102"/>
    </row>
    <row r="5243" spans="4:4" x14ac:dyDescent="0.25">
      <c r="D5243" s="102"/>
    </row>
    <row r="5244" spans="4:4" x14ac:dyDescent="0.25">
      <c r="D5244" s="102"/>
    </row>
    <row r="5245" spans="4:4" x14ac:dyDescent="0.25">
      <c r="D5245" s="102"/>
    </row>
    <row r="5246" spans="4:4" x14ac:dyDescent="0.25">
      <c r="D5246" s="102"/>
    </row>
    <row r="5247" spans="4:4" x14ac:dyDescent="0.25">
      <c r="D5247" s="102"/>
    </row>
    <row r="5248" spans="4:4" x14ac:dyDescent="0.25">
      <c r="D5248" s="102"/>
    </row>
    <row r="5249" spans="4:4" x14ac:dyDescent="0.25">
      <c r="D5249" s="102"/>
    </row>
    <row r="5250" spans="4:4" x14ac:dyDescent="0.25">
      <c r="D5250" s="102"/>
    </row>
    <row r="5251" spans="4:4" x14ac:dyDescent="0.25">
      <c r="D5251" s="102"/>
    </row>
    <row r="5252" spans="4:4" x14ac:dyDescent="0.25">
      <c r="D5252" s="102"/>
    </row>
    <row r="5253" spans="4:4" x14ac:dyDescent="0.25">
      <c r="D5253" s="102"/>
    </row>
    <row r="5254" spans="4:4" x14ac:dyDescent="0.25">
      <c r="D5254" s="102"/>
    </row>
    <row r="5255" spans="4:4" x14ac:dyDescent="0.25">
      <c r="D5255" s="102"/>
    </row>
    <row r="5256" spans="4:4" x14ac:dyDescent="0.25">
      <c r="D5256" s="102"/>
    </row>
    <row r="5257" spans="4:4" x14ac:dyDescent="0.25">
      <c r="D5257" s="102"/>
    </row>
    <row r="5258" spans="4:4" x14ac:dyDescent="0.25">
      <c r="D5258" s="102"/>
    </row>
    <row r="5259" spans="4:4" x14ac:dyDescent="0.25">
      <c r="D5259" s="102"/>
    </row>
    <row r="5260" spans="4:4" x14ac:dyDescent="0.25">
      <c r="D5260" s="102"/>
    </row>
    <row r="5261" spans="4:4" x14ac:dyDescent="0.25">
      <c r="D5261" s="102"/>
    </row>
    <row r="5262" spans="4:4" x14ac:dyDescent="0.25">
      <c r="D5262" s="102"/>
    </row>
    <row r="5263" spans="4:4" x14ac:dyDescent="0.25">
      <c r="D5263" s="102"/>
    </row>
    <row r="5264" spans="4:4" x14ac:dyDescent="0.25">
      <c r="D5264" s="102"/>
    </row>
    <row r="5265" spans="4:4" x14ac:dyDescent="0.25">
      <c r="D5265" s="102"/>
    </row>
    <row r="5266" spans="4:4" x14ac:dyDescent="0.25">
      <c r="D5266" s="102"/>
    </row>
    <row r="5267" spans="4:4" x14ac:dyDescent="0.25">
      <c r="D5267" s="102"/>
    </row>
    <row r="5268" spans="4:4" x14ac:dyDescent="0.25">
      <c r="D5268" s="102"/>
    </row>
    <row r="5269" spans="4:4" x14ac:dyDescent="0.25">
      <c r="D5269" s="102"/>
    </row>
    <row r="5270" spans="4:4" x14ac:dyDescent="0.25">
      <c r="D5270" s="102"/>
    </row>
    <row r="5271" spans="4:4" x14ac:dyDescent="0.25">
      <c r="D5271" s="102"/>
    </row>
    <row r="5272" spans="4:4" x14ac:dyDescent="0.25">
      <c r="D5272" s="102"/>
    </row>
    <row r="5273" spans="4:4" x14ac:dyDescent="0.25">
      <c r="D5273" s="102"/>
    </row>
    <row r="5274" spans="4:4" x14ac:dyDescent="0.25">
      <c r="D5274" s="102"/>
    </row>
    <row r="5275" spans="4:4" x14ac:dyDescent="0.25">
      <c r="D5275" s="102"/>
    </row>
    <row r="5276" spans="4:4" x14ac:dyDescent="0.25">
      <c r="D5276" s="102"/>
    </row>
    <row r="5277" spans="4:4" x14ac:dyDescent="0.25">
      <c r="D5277" s="102"/>
    </row>
    <row r="5278" spans="4:4" x14ac:dyDescent="0.25">
      <c r="D5278" s="102"/>
    </row>
    <row r="5279" spans="4:4" x14ac:dyDescent="0.25">
      <c r="D5279" s="102"/>
    </row>
    <row r="5280" spans="4:4" x14ac:dyDescent="0.25">
      <c r="D5280" s="102"/>
    </row>
    <row r="5281" spans="4:4" x14ac:dyDescent="0.25">
      <c r="D5281" s="102"/>
    </row>
    <row r="5282" spans="4:4" x14ac:dyDescent="0.25">
      <c r="D5282" s="102"/>
    </row>
    <row r="5283" spans="4:4" x14ac:dyDescent="0.25">
      <c r="D5283" s="102"/>
    </row>
    <row r="5284" spans="4:4" x14ac:dyDescent="0.25">
      <c r="D5284" s="102"/>
    </row>
    <row r="5285" spans="4:4" x14ac:dyDescent="0.25">
      <c r="D5285" s="102"/>
    </row>
    <row r="5286" spans="4:4" x14ac:dyDescent="0.25">
      <c r="D5286" s="102"/>
    </row>
    <row r="5287" spans="4:4" x14ac:dyDescent="0.25">
      <c r="D5287" s="102"/>
    </row>
    <row r="5288" spans="4:4" x14ac:dyDescent="0.25">
      <c r="D5288" s="102"/>
    </row>
    <row r="5289" spans="4:4" x14ac:dyDescent="0.25">
      <c r="D5289" s="102"/>
    </row>
    <row r="5290" spans="4:4" x14ac:dyDescent="0.25">
      <c r="D5290" s="102"/>
    </row>
    <row r="5291" spans="4:4" x14ac:dyDescent="0.25">
      <c r="D5291" s="102"/>
    </row>
    <row r="5292" spans="4:4" x14ac:dyDescent="0.25">
      <c r="D5292" s="102"/>
    </row>
    <row r="5293" spans="4:4" x14ac:dyDescent="0.25">
      <c r="D5293" s="102"/>
    </row>
    <row r="5294" spans="4:4" x14ac:dyDescent="0.25">
      <c r="D5294" s="102"/>
    </row>
    <row r="5295" spans="4:4" x14ac:dyDescent="0.25">
      <c r="D5295" s="102"/>
    </row>
    <row r="5296" spans="4:4" x14ac:dyDescent="0.25">
      <c r="D5296" s="102"/>
    </row>
    <row r="5297" spans="4:4" x14ac:dyDescent="0.25">
      <c r="D5297" s="102"/>
    </row>
    <row r="5298" spans="4:4" x14ac:dyDescent="0.25">
      <c r="D5298" s="102"/>
    </row>
    <row r="5299" spans="4:4" x14ac:dyDescent="0.25">
      <c r="D5299" s="102"/>
    </row>
    <row r="5300" spans="4:4" x14ac:dyDescent="0.25">
      <c r="D5300" s="102"/>
    </row>
    <row r="5301" spans="4:4" x14ac:dyDescent="0.25">
      <c r="D5301" s="102"/>
    </row>
    <row r="5302" spans="4:4" x14ac:dyDescent="0.25">
      <c r="D5302" s="102"/>
    </row>
    <row r="5303" spans="4:4" x14ac:dyDescent="0.25">
      <c r="D5303" s="102"/>
    </row>
    <row r="5304" spans="4:4" x14ac:dyDescent="0.25">
      <c r="D5304" s="102"/>
    </row>
    <row r="5305" spans="4:4" x14ac:dyDescent="0.25">
      <c r="D5305" s="102"/>
    </row>
    <row r="5306" spans="4:4" x14ac:dyDescent="0.25">
      <c r="D5306" s="102"/>
    </row>
    <row r="5307" spans="4:4" x14ac:dyDescent="0.25">
      <c r="D5307" s="102"/>
    </row>
    <row r="5308" spans="4:4" x14ac:dyDescent="0.25">
      <c r="D5308" s="102"/>
    </row>
    <row r="5309" spans="4:4" x14ac:dyDescent="0.25">
      <c r="D5309" s="102"/>
    </row>
    <row r="5310" spans="4:4" x14ac:dyDescent="0.25">
      <c r="D5310" s="102"/>
    </row>
    <row r="5311" spans="4:4" x14ac:dyDescent="0.25">
      <c r="D5311" s="102"/>
    </row>
    <row r="5312" spans="4:4" x14ac:dyDescent="0.25">
      <c r="D5312" s="102"/>
    </row>
    <row r="5313" spans="4:4" x14ac:dyDescent="0.25">
      <c r="D5313" s="102"/>
    </row>
    <row r="5314" spans="4:4" x14ac:dyDescent="0.25">
      <c r="D5314" s="102"/>
    </row>
    <row r="5315" spans="4:4" x14ac:dyDescent="0.25">
      <c r="D5315" s="102"/>
    </row>
    <row r="5316" spans="4:4" x14ac:dyDescent="0.25">
      <c r="D5316" s="102"/>
    </row>
    <row r="5317" spans="4:4" x14ac:dyDescent="0.25">
      <c r="D5317" s="102"/>
    </row>
    <row r="5318" spans="4:4" x14ac:dyDescent="0.25">
      <c r="D5318" s="102"/>
    </row>
    <row r="5319" spans="4:4" x14ac:dyDescent="0.25">
      <c r="D5319" s="102"/>
    </row>
    <row r="5320" spans="4:4" x14ac:dyDescent="0.25">
      <c r="D5320" s="102"/>
    </row>
    <row r="5321" spans="4:4" x14ac:dyDescent="0.25">
      <c r="D5321" s="102"/>
    </row>
    <row r="5322" spans="4:4" x14ac:dyDescent="0.25">
      <c r="D5322" s="102"/>
    </row>
    <row r="5323" spans="4:4" x14ac:dyDescent="0.25">
      <c r="D5323" s="102"/>
    </row>
    <row r="5324" spans="4:4" x14ac:dyDescent="0.25">
      <c r="D5324" s="102"/>
    </row>
    <row r="5325" spans="4:4" x14ac:dyDescent="0.25">
      <c r="D5325" s="102"/>
    </row>
    <row r="5326" spans="4:4" x14ac:dyDescent="0.25">
      <c r="D5326" s="102"/>
    </row>
    <row r="5327" spans="4:4" x14ac:dyDescent="0.25">
      <c r="D5327" s="102"/>
    </row>
    <row r="5328" spans="4:4" x14ac:dyDescent="0.25">
      <c r="D5328" s="102"/>
    </row>
    <row r="5329" spans="4:4" x14ac:dyDescent="0.25">
      <c r="D5329" s="102"/>
    </row>
    <row r="5330" spans="4:4" x14ac:dyDescent="0.25">
      <c r="D5330" s="102"/>
    </row>
    <row r="5331" spans="4:4" x14ac:dyDescent="0.25">
      <c r="D5331" s="102"/>
    </row>
    <row r="5332" spans="4:4" x14ac:dyDescent="0.25">
      <c r="D5332" s="102"/>
    </row>
    <row r="5333" spans="4:4" x14ac:dyDescent="0.25">
      <c r="D5333" s="102"/>
    </row>
    <row r="5334" spans="4:4" x14ac:dyDescent="0.25">
      <c r="D5334" s="102"/>
    </row>
    <row r="5335" spans="4:4" x14ac:dyDescent="0.25">
      <c r="D5335" s="102"/>
    </row>
    <row r="5336" spans="4:4" x14ac:dyDescent="0.25">
      <c r="D5336" s="102"/>
    </row>
    <row r="5337" spans="4:4" x14ac:dyDescent="0.25">
      <c r="D5337" s="102"/>
    </row>
    <row r="5338" spans="4:4" x14ac:dyDescent="0.25">
      <c r="D5338" s="102"/>
    </row>
    <row r="5339" spans="4:4" x14ac:dyDescent="0.25">
      <c r="D5339" s="102"/>
    </row>
    <row r="5340" spans="4:4" x14ac:dyDescent="0.25">
      <c r="D5340" s="102"/>
    </row>
    <row r="5341" spans="4:4" x14ac:dyDescent="0.25">
      <c r="D5341" s="102"/>
    </row>
    <row r="5342" spans="4:4" x14ac:dyDescent="0.25">
      <c r="D5342" s="102"/>
    </row>
    <row r="5343" spans="4:4" x14ac:dyDescent="0.25">
      <c r="D5343" s="102"/>
    </row>
    <row r="5344" spans="4:4" x14ac:dyDescent="0.25">
      <c r="D5344" s="102"/>
    </row>
    <row r="5345" spans="4:4" x14ac:dyDescent="0.25">
      <c r="D5345" s="102"/>
    </row>
    <row r="5346" spans="4:4" x14ac:dyDescent="0.25">
      <c r="D5346" s="102"/>
    </row>
    <row r="5347" spans="4:4" x14ac:dyDescent="0.25">
      <c r="D5347" s="102"/>
    </row>
    <row r="5348" spans="4:4" x14ac:dyDescent="0.25">
      <c r="D5348" s="102"/>
    </row>
    <row r="5349" spans="4:4" x14ac:dyDescent="0.25">
      <c r="D5349" s="102"/>
    </row>
    <row r="5350" spans="4:4" x14ac:dyDescent="0.25">
      <c r="D5350" s="102"/>
    </row>
    <row r="5351" spans="4:4" x14ac:dyDescent="0.25">
      <c r="D5351" s="102"/>
    </row>
    <row r="5352" spans="4:4" x14ac:dyDescent="0.25">
      <c r="D5352" s="102"/>
    </row>
    <row r="5353" spans="4:4" x14ac:dyDescent="0.25">
      <c r="D5353" s="102"/>
    </row>
    <row r="5354" spans="4:4" x14ac:dyDescent="0.25">
      <c r="D5354" s="102"/>
    </row>
    <row r="5355" spans="4:4" x14ac:dyDescent="0.25">
      <c r="D5355" s="102"/>
    </row>
    <row r="5356" spans="4:4" x14ac:dyDescent="0.25">
      <c r="D5356" s="102"/>
    </row>
    <row r="5357" spans="4:4" x14ac:dyDescent="0.25">
      <c r="D5357" s="102"/>
    </row>
    <row r="5358" spans="4:4" x14ac:dyDescent="0.25">
      <c r="D5358" s="102"/>
    </row>
    <row r="5359" spans="4:4" x14ac:dyDescent="0.25">
      <c r="D5359" s="102"/>
    </row>
    <row r="5360" spans="4:4" x14ac:dyDescent="0.25">
      <c r="D5360" s="102"/>
    </row>
    <row r="5361" spans="4:4" x14ac:dyDescent="0.25">
      <c r="D5361" s="102"/>
    </row>
    <row r="5362" spans="4:4" x14ac:dyDescent="0.25">
      <c r="D5362" s="102"/>
    </row>
    <row r="5363" spans="4:4" x14ac:dyDescent="0.25">
      <c r="D5363" s="102"/>
    </row>
    <row r="5364" spans="4:4" x14ac:dyDescent="0.25">
      <c r="D5364" s="102"/>
    </row>
    <row r="5365" spans="4:4" x14ac:dyDescent="0.25">
      <c r="D5365" s="102"/>
    </row>
    <row r="5366" spans="4:4" x14ac:dyDescent="0.25">
      <c r="D5366" s="102"/>
    </row>
    <row r="5367" spans="4:4" x14ac:dyDescent="0.25">
      <c r="D5367" s="102"/>
    </row>
    <row r="5368" spans="4:4" x14ac:dyDescent="0.25">
      <c r="D5368" s="102"/>
    </row>
    <row r="5369" spans="4:4" x14ac:dyDescent="0.25">
      <c r="D5369" s="102"/>
    </row>
    <row r="5370" spans="4:4" x14ac:dyDescent="0.25">
      <c r="D5370" s="102"/>
    </row>
    <row r="5371" spans="4:4" x14ac:dyDescent="0.25">
      <c r="D5371" s="102"/>
    </row>
    <row r="5372" spans="4:4" x14ac:dyDescent="0.25">
      <c r="D5372" s="102"/>
    </row>
    <row r="5373" spans="4:4" x14ac:dyDescent="0.25">
      <c r="D5373" s="102"/>
    </row>
    <row r="5374" spans="4:4" x14ac:dyDescent="0.25">
      <c r="D5374" s="102"/>
    </row>
    <row r="5375" spans="4:4" x14ac:dyDescent="0.25">
      <c r="D5375" s="102"/>
    </row>
    <row r="5376" spans="4:4" x14ac:dyDescent="0.25">
      <c r="D5376" s="102"/>
    </row>
    <row r="5377" spans="4:4" x14ac:dyDescent="0.25">
      <c r="D5377" s="102"/>
    </row>
    <row r="5378" spans="4:4" x14ac:dyDescent="0.25">
      <c r="D5378" s="102"/>
    </row>
    <row r="5379" spans="4:4" x14ac:dyDescent="0.25">
      <c r="D5379" s="102"/>
    </row>
    <row r="5380" spans="4:4" x14ac:dyDescent="0.25">
      <c r="D5380" s="102"/>
    </row>
    <row r="5381" spans="4:4" x14ac:dyDescent="0.25">
      <c r="D5381" s="102"/>
    </row>
    <row r="5382" spans="4:4" x14ac:dyDescent="0.25">
      <c r="D5382" s="102"/>
    </row>
    <row r="5383" spans="4:4" x14ac:dyDescent="0.25">
      <c r="D5383" s="102"/>
    </row>
    <row r="5384" spans="4:4" x14ac:dyDescent="0.25">
      <c r="D5384" s="102"/>
    </row>
    <row r="5385" spans="4:4" x14ac:dyDescent="0.25">
      <c r="D5385" s="102"/>
    </row>
    <row r="5386" spans="4:4" x14ac:dyDescent="0.25">
      <c r="D5386" s="102"/>
    </row>
    <row r="5387" spans="4:4" x14ac:dyDescent="0.25">
      <c r="D5387" s="102"/>
    </row>
    <row r="5388" spans="4:4" x14ac:dyDescent="0.25">
      <c r="D5388" s="102"/>
    </row>
    <row r="5389" spans="4:4" x14ac:dyDescent="0.25">
      <c r="D5389" s="102"/>
    </row>
    <row r="5390" spans="4:4" x14ac:dyDescent="0.25">
      <c r="D5390" s="102"/>
    </row>
    <row r="5391" spans="4:4" x14ac:dyDescent="0.25">
      <c r="D5391" s="102"/>
    </row>
    <row r="5392" spans="4:4" x14ac:dyDescent="0.25">
      <c r="D5392" s="102"/>
    </row>
    <row r="5393" spans="4:4" x14ac:dyDescent="0.25">
      <c r="D5393" s="102"/>
    </row>
    <row r="5394" spans="4:4" x14ac:dyDescent="0.25">
      <c r="D5394" s="102"/>
    </row>
    <row r="5395" spans="4:4" x14ac:dyDescent="0.25">
      <c r="D5395" s="102"/>
    </row>
    <row r="5396" spans="4:4" x14ac:dyDescent="0.25">
      <c r="D5396" s="102"/>
    </row>
    <row r="5397" spans="4:4" x14ac:dyDescent="0.25">
      <c r="D5397" s="102"/>
    </row>
    <row r="5398" spans="4:4" x14ac:dyDescent="0.25">
      <c r="D5398" s="102"/>
    </row>
    <row r="5399" spans="4:4" x14ac:dyDescent="0.25">
      <c r="D5399" s="102"/>
    </row>
    <row r="5400" spans="4:4" x14ac:dyDescent="0.25">
      <c r="D5400" s="102"/>
    </row>
    <row r="5401" spans="4:4" x14ac:dyDescent="0.25">
      <c r="D5401" s="102"/>
    </row>
    <row r="5402" spans="4:4" x14ac:dyDescent="0.25">
      <c r="D5402" s="102"/>
    </row>
    <row r="5403" spans="4:4" x14ac:dyDescent="0.25">
      <c r="D5403" s="102"/>
    </row>
    <row r="5404" spans="4:4" x14ac:dyDescent="0.25">
      <c r="D5404" s="102"/>
    </row>
    <row r="5405" spans="4:4" x14ac:dyDescent="0.25">
      <c r="D5405" s="102"/>
    </row>
    <row r="5406" spans="4:4" x14ac:dyDescent="0.25">
      <c r="D5406" s="102"/>
    </row>
    <row r="5407" spans="4:4" x14ac:dyDescent="0.25">
      <c r="D5407" s="102"/>
    </row>
    <row r="5408" spans="4:4" x14ac:dyDescent="0.25">
      <c r="D5408" s="102"/>
    </row>
    <row r="5409" spans="4:4" x14ac:dyDescent="0.25">
      <c r="D5409" s="102"/>
    </row>
    <row r="5410" spans="4:4" x14ac:dyDescent="0.25">
      <c r="D5410" s="102"/>
    </row>
    <row r="5411" spans="4:4" x14ac:dyDescent="0.25">
      <c r="D5411" s="102"/>
    </row>
    <row r="5412" spans="4:4" x14ac:dyDescent="0.25">
      <c r="D5412" s="102"/>
    </row>
    <row r="5413" spans="4:4" x14ac:dyDescent="0.25">
      <c r="D5413" s="102"/>
    </row>
    <row r="5414" spans="4:4" x14ac:dyDescent="0.25">
      <c r="D5414" s="102"/>
    </row>
    <row r="5415" spans="4:4" x14ac:dyDescent="0.25">
      <c r="D5415" s="102"/>
    </row>
    <row r="5416" spans="4:4" x14ac:dyDescent="0.25">
      <c r="D5416" s="102"/>
    </row>
    <row r="5417" spans="4:4" x14ac:dyDescent="0.25">
      <c r="D5417" s="102"/>
    </row>
    <row r="5418" spans="4:4" x14ac:dyDescent="0.25">
      <c r="D5418" s="102"/>
    </row>
    <row r="5419" spans="4:4" x14ac:dyDescent="0.25">
      <c r="D5419" s="102"/>
    </row>
    <row r="5420" spans="4:4" x14ac:dyDescent="0.25">
      <c r="D5420" s="102"/>
    </row>
    <row r="5421" spans="4:4" x14ac:dyDescent="0.25">
      <c r="D5421" s="102"/>
    </row>
    <row r="5422" spans="4:4" x14ac:dyDescent="0.25">
      <c r="D5422" s="102"/>
    </row>
    <row r="5423" spans="4:4" x14ac:dyDescent="0.25">
      <c r="D5423" s="102"/>
    </row>
    <row r="5424" spans="4:4" x14ac:dyDescent="0.25">
      <c r="D5424" s="102"/>
    </row>
    <row r="5425" spans="4:4" x14ac:dyDescent="0.25">
      <c r="D5425" s="102"/>
    </row>
    <row r="5426" spans="4:4" x14ac:dyDescent="0.25">
      <c r="D5426" s="102"/>
    </row>
    <row r="5427" spans="4:4" x14ac:dyDescent="0.25">
      <c r="D5427" s="102"/>
    </row>
    <row r="5428" spans="4:4" x14ac:dyDescent="0.25">
      <c r="D5428" s="102"/>
    </row>
    <row r="5429" spans="4:4" x14ac:dyDescent="0.25">
      <c r="D5429" s="102"/>
    </row>
    <row r="5430" spans="4:4" x14ac:dyDescent="0.25">
      <c r="D5430" s="102"/>
    </row>
    <row r="5431" spans="4:4" x14ac:dyDescent="0.25">
      <c r="D5431" s="102"/>
    </row>
    <row r="5432" spans="4:4" x14ac:dyDescent="0.25">
      <c r="D5432" s="102"/>
    </row>
    <row r="5433" spans="4:4" x14ac:dyDescent="0.25">
      <c r="D5433" s="102"/>
    </row>
    <row r="5434" spans="4:4" x14ac:dyDescent="0.25">
      <c r="D5434" s="102"/>
    </row>
    <row r="5435" spans="4:4" x14ac:dyDescent="0.25">
      <c r="D5435" s="102"/>
    </row>
    <row r="5436" spans="4:4" x14ac:dyDescent="0.25">
      <c r="D5436" s="102"/>
    </row>
    <row r="5437" spans="4:4" x14ac:dyDescent="0.25">
      <c r="D5437" s="102"/>
    </row>
    <row r="5438" spans="4:4" x14ac:dyDescent="0.25">
      <c r="D5438" s="102"/>
    </row>
    <row r="5439" spans="4:4" x14ac:dyDescent="0.25">
      <c r="D5439" s="102"/>
    </row>
    <row r="5440" spans="4:4" x14ac:dyDescent="0.25">
      <c r="D5440" s="102"/>
    </row>
    <row r="5441" spans="4:4" x14ac:dyDescent="0.25">
      <c r="D5441" s="102"/>
    </row>
    <row r="5442" spans="4:4" x14ac:dyDescent="0.25">
      <c r="D5442" s="102"/>
    </row>
    <row r="5443" spans="4:4" x14ac:dyDescent="0.25">
      <c r="D5443" s="102"/>
    </row>
    <row r="5444" spans="4:4" x14ac:dyDescent="0.25">
      <c r="D5444" s="102"/>
    </row>
    <row r="5445" spans="4:4" x14ac:dyDescent="0.25">
      <c r="D5445" s="102"/>
    </row>
    <row r="5446" spans="4:4" x14ac:dyDescent="0.25">
      <c r="D5446" s="102"/>
    </row>
    <row r="5447" spans="4:4" x14ac:dyDescent="0.25">
      <c r="D5447" s="102"/>
    </row>
    <row r="5448" spans="4:4" x14ac:dyDescent="0.25">
      <c r="D5448" s="102"/>
    </row>
    <row r="5449" spans="4:4" x14ac:dyDescent="0.25">
      <c r="D5449" s="102"/>
    </row>
    <row r="5450" spans="4:4" x14ac:dyDescent="0.25">
      <c r="D5450" s="102"/>
    </row>
    <row r="5451" spans="4:4" x14ac:dyDescent="0.25">
      <c r="D5451" s="102"/>
    </row>
    <row r="5452" spans="4:4" x14ac:dyDescent="0.25">
      <c r="D5452" s="102"/>
    </row>
    <row r="5453" spans="4:4" x14ac:dyDescent="0.25">
      <c r="D5453" s="102"/>
    </row>
    <row r="5454" spans="4:4" x14ac:dyDescent="0.25">
      <c r="D5454" s="102"/>
    </row>
    <row r="5455" spans="4:4" x14ac:dyDescent="0.25">
      <c r="D5455" s="102"/>
    </row>
    <row r="5456" spans="4:4" x14ac:dyDescent="0.25">
      <c r="D5456" s="102"/>
    </row>
    <row r="5457" spans="4:4" x14ac:dyDescent="0.25">
      <c r="D5457" s="102"/>
    </row>
    <row r="5458" spans="4:4" x14ac:dyDescent="0.25">
      <c r="D5458" s="102"/>
    </row>
    <row r="5459" spans="4:4" x14ac:dyDescent="0.25">
      <c r="D5459" s="102"/>
    </row>
    <row r="5460" spans="4:4" x14ac:dyDescent="0.25">
      <c r="D5460" s="102"/>
    </row>
    <row r="5461" spans="4:4" x14ac:dyDescent="0.25">
      <c r="D5461" s="102"/>
    </row>
    <row r="5462" spans="4:4" x14ac:dyDescent="0.25">
      <c r="D5462" s="102"/>
    </row>
    <row r="5463" spans="4:4" x14ac:dyDescent="0.25">
      <c r="D5463" s="102"/>
    </row>
    <row r="5464" spans="4:4" x14ac:dyDescent="0.25">
      <c r="D5464" s="102"/>
    </row>
    <row r="5465" spans="4:4" x14ac:dyDescent="0.25">
      <c r="D5465" s="102"/>
    </row>
    <row r="5466" spans="4:4" x14ac:dyDescent="0.25">
      <c r="D5466" s="102"/>
    </row>
    <row r="5467" spans="4:4" x14ac:dyDescent="0.25">
      <c r="D5467" s="102"/>
    </row>
    <row r="5468" spans="4:4" x14ac:dyDescent="0.25">
      <c r="D5468" s="102"/>
    </row>
    <row r="5469" spans="4:4" x14ac:dyDescent="0.25">
      <c r="D5469" s="102"/>
    </row>
    <row r="5470" spans="4:4" x14ac:dyDescent="0.25">
      <c r="D5470" s="102"/>
    </row>
    <row r="5471" spans="4:4" x14ac:dyDescent="0.25">
      <c r="D5471" s="102"/>
    </row>
    <row r="5472" spans="4:4" x14ac:dyDescent="0.25">
      <c r="D5472" s="102"/>
    </row>
    <row r="5473" spans="4:4" x14ac:dyDescent="0.25">
      <c r="D5473" s="102"/>
    </row>
    <row r="5474" spans="4:4" x14ac:dyDescent="0.25">
      <c r="D5474" s="102"/>
    </row>
    <row r="5475" spans="4:4" x14ac:dyDescent="0.25">
      <c r="D5475" s="102"/>
    </row>
    <row r="5476" spans="4:4" x14ac:dyDescent="0.25">
      <c r="D5476" s="102"/>
    </row>
    <row r="5477" spans="4:4" x14ac:dyDescent="0.25">
      <c r="D5477" s="102"/>
    </row>
    <row r="5478" spans="4:4" x14ac:dyDescent="0.25">
      <c r="D5478" s="102"/>
    </row>
    <row r="5479" spans="4:4" x14ac:dyDescent="0.25">
      <c r="D5479" s="102"/>
    </row>
    <row r="5480" spans="4:4" x14ac:dyDescent="0.25">
      <c r="D5480" s="102"/>
    </row>
    <row r="5481" spans="4:4" x14ac:dyDescent="0.25">
      <c r="D5481" s="102"/>
    </row>
    <row r="5482" spans="4:4" x14ac:dyDescent="0.25">
      <c r="D5482" s="102"/>
    </row>
    <row r="5483" spans="4:4" x14ac:dyDescent="0.25">
      <c r="D5483" s="102"/>
    </row>
    <row r="5484" spans="4:4" x14ac:dyDescent="0.25">
      <c r="D5484" s="102"/>
    </row>
    <row r="5485" spans="4:4" x14ac:dyDescent="0.25">
      <c r="D5485" s="102"/>
    </row>
    <row r="5486" spans="4:4" x14ac:dyDescent="0.25">
      <c r="D5486" s="102"/>
    </row>
    <row r="5487" spans="4:4" x14ac:dyDescent="0.25">
      <c r="D5487" s="102"/>
    </row>
    <row r="5488" spans="4:4" x14ac:dyDescent="0.25">
      <c r="D5488" s="102"/>
    </row>
    <row r="5489" spans="4:4" x14ac:dyDescent="0.25">
      <c r="D5489" s="102"/>
    </row>
    <row r="5490" spans="4:4" x14ac:dyDescent="0.25">
      <c r="D5490" s="102"/>
    </row>
    <row r="5491" spans="4:4" x14ac:dyDescent="0.25">
      <c r="D5491" s="102"/>
    </row>
    <row r="5492" spans="4:4" x14ac:dyDescent="0.25">
      <c r="D5492" s="102"/>
    </row>
    <row r="5493" spans="4:4" x14ac:dyDescent="0.25">
      <c r="D5493" s="102"/>
    </row>
    <row r="5494" spans="4:4" x14ac:dyDescent="0.25">
      <c r="D5494" s="102"/>
    </row>
    <row r="5495" spans="4:4" x14ac:dyDescent="0.25">
      <c r="D5495" s="102"/>
    </row>
    <row r="5496" spans="4:4" x14ac:dyDescent="0.25">
      <c r="D5496" s="102"/>
    </row>
    <row r="5497" spans="4:4" x14ac:dyDescent="0.25">
      <c r="D5497" s="102"/>
    </row>
    <row r="5498" spans="4:4" x14ac:dyDescent="0.25">
      <c r="D5498" s="102"/>
    </row>
    <row r="5499" spans="4:4" x14ac:dyDescent="0.25">
      <c r="D5499" s="102"/>
    </row>
    <row r="5500" spans="4:4" x14ac:dyDescent="0.25">
      <c r="D5500" s="102"/>
    </row>
    <row r="5501" spans="4:4" x14ac:dyDescent="0.25">
      <c r="D5501" s="102"/>
    </row>
    <row r="5502" spans="4:4" x14ac:dyDescent="0.25">
      <c r="D5502" s="102"/>
    </row>
    <row r="5503" spans="4:4" x14ac:dyDescent="0.25">
      <c r="D5503" s="102"/>
    </row>
    <row r="5504" spans="4:4" x14ac:dyDescent="0.25">
      <c r="D5504" s="102"/>
    </row>
    <row r="5505" spans="4:4" x14ac:dyDescent="0.25">
      <c r="D5505" s="102"/>
    </row>
    <row r="5506" spans="4:4" x14ac:dyDescent="0.25">
      <c r="D5506" s="102"/>
    </row>
    <row r="5507" spans="4:4" x14ac:dyDescent="0.25">
      <c r="D5507" s="102"/>
    </row>
    <row r="5508" spans="4:4" x14ac:dyDescent="0.25">
      <c r="D5508" s="102"/>
    </row>
    <row r="5509" spans="4:4" x14ac:dyDescent="0.25">
      <c r="D5509" s="102"/>
    </row>
    <row r="5510" spans="4:4" x14ac:dyDescent="0.25">
      <c r="D5510" s="102"/>
    </row>
    <row r="5511" spans="4:4" x14ac:dyDescent="0.25">
      <c r="D5511" s="102"/>
    </row>
    <row r="5512" spans="4:4" x14ac:dyDescent="0.25">
      <c r="D5512" s="102"/>
    </row>
    <row r="5513" spans="4:4" x14ac:dyDescent="0.25">
      <c r="D5513" s="102"/>
    </row>
    <row r="5514" spans="4:4" x14ac:dyDescent="0.25">
      <c r="D5514" s="102"/>
    </row>
    <row r="5515" spans="4:4" x14ac:dyDescent="0.25">
      <c r="D5515" s="102"/>
    </row>
    <row r="5516" spans="4:4" x14ac:dyDescent="0.25">
      <c r="D5516" s="102"/>
    </row>
    <row r="5517" spans="4:4" x14ac:dyDescent="0.25">
      <c r="D5517" s="102"/>
    </row>
    <row r="5518" spans="4:4" x14ac:dyDescent="0.25">
      <c r="D5518" s="102"/>
    </row>
    <row r="5519" spans="4:4" x14ac:dyDescent="0.25">
      <c r="D5519" s="102"/>
    </row>
    <row r="5520" spans="4:4" x14ac:dyDescent="0.25">
      <c r="D5520" s="102"/>
    </row>
    <row r="5521" spans="4:4" x14ac:dyDescent="0.25">
      <c r="D5521" s="102"/>
    </row>
    <row r="5522" spans="4:4" x14ac:dyDescent="0.25">
      <c r="D5522" s="102"/>
    </row>
    <row r="5523" spans="4:4" x14ac:dyDescent="0.25">
      <c r="D5523" s="102"/>
    </row>
    <row r="5524" spans="4:4" x14ac:dyDescent="0.25">
      <c r="D5524" s="102"/>
    </row>
    <row r="5525" spans="4:4" x14ac:dyDescent="0.25">
      <c r="D5525" s="102"/>
    </row>
    <row r="5526" spans="4:4" x14ac:dyDescent="0.25">
      <c r="D5526" s="102"/>
    </row>
    <row r="5527" spans="4:4" x14ac:dyDescent="0.25">
      <c r="D5527" s="102"/>
    </row>
    <row r="5528" spans="4:4" x14ac:dyDescent="0.25">
      <c r="D5528" s="102"/>
    </row>
    <row r="5529" spans="4:4" x14ac:dyDescent="0.25">
      <c r="D5529" s="102"/>
    </row>
    <row r="5530" spans="4:4" x14ac:dyDescent="0.25">
      <c r="D5530" s="102"/>
    </row>
    <row r="5531" spans="4:4" x14ac:dyDescent="0.25">
      <c r="D5531" s="102"/>
    </row>
    <row r="5532" spans="4:4" x14ac:dyDescent="0.25">
      <c r="D5532" s="102"/>
    </row>
    <row r="5533" spans="4:4" x14ac:dyDescent="0.25">
      <c r="D5533" s="102"/>
    </row>
    <row r="5534" spans="4:4" x14ac:dyDescent="0.25">
      <c r="D5534" s="102"/>
    </row>
    <row r="5535" spans="4:4" x14ac:dyDescent="0.25">
      <c r="D5535" s="102"/>
    </row>
    <row r="5536" spans="4:4" x14ac:dyDescent="0.25">
      <c r="D5536" s="102"/>
    </row>
    <row r="5537" spans="4:4" x14ac:dyDescent="0.25">
      <c r="D5537" s="102"/>
    </row>
    <row r="5538" spans="4:4" x14ac:dyDescent="0.25">
      <c r="D5538" s="102"/>
    </row>
    <row r="5539" spans="4:4" x14ac:dyDescent="0.25">
      <c r="D5539" s="102"/>
    </row>
    <row r="5540" spans="4:4" x14ac:dyDescent="0.25">
      <c r="D5540" s="102"/>
    </row>
    <row r="5541" spans="4:4" x14ac:dyDescent="0.25">
      <c r="D5541" s="102"/>
    </row>
    <row r="5542" spans="4:4" x14ac:dyDescent="0.25">
      <c r="D5542" s="102"/>
    </row>
    <row r="5543" spans="4:4" x14ac:dyDescent="0.25">
      <c r="D5543" s="102"/>
    </row>
    <row r="5544" spans="4:4" x14ac:dyDescent="0.25">
      <c r="D5544" s="102"/>
    </row>
    <row r="5545" spans="4:4" x14ac:dyDescent="0.25">
      <c r="D5545" s="102"/>
    </row>
    <row r="5546" spans="4:4" x14ac:dyDescent="0.25">
      <c r="D5546" s="102"/>
    </row>
    <row r="5547" spans="4:4" x14ac:dyDescent="0.25">
      <c r="D5547" s="102"/>
    </row>
    <row r="5548" spans="4:4" x14ac:dyDescent="0.25">
      <c r="D5548" s="102"/>
    </row>
    <row r="5549" spans="4:4" x14ac:dyDescent="0.25">
      <c r="D5549" s="102"/>
    </row>
    <row r="5550" spans="4:4" x14ac:dyDescent="0.25">
      <c r="D5550" s="102"/>
    </row>
    <row r="5551" spans="4:4" x14ac:dyDescent="0.25">
      <c r="D5551" s="102"/>
    </row>
    <row r="5552" spans="4:4" x14ac:dyDescent="0.25">
      <c r="D5552" s="102"/>
    </row>
    <row r="5553" spans="4:4" x14ac:dyDescent="0.25">
      <c r="D5553" s="102"/>
    </row>
    <row r="5554" spans="4:4" x14ac:dyDescent="0.25">
      <c r="D5554" s="102"/>
    </row>
    <row r="5555" spans="4:4" x14ac:dyDescent="0.25">
      <c r="D5555" s="102"/>
    </row>
    <row r="5556" spans="4:4" x14ac:dyDescent="0.25">
      <c r="D5556" s="102"/>
    </row>
    <row r="5557" spans="4:4" x14ac:dyDescent="0.25">
      <c r="D5557" s="102"/>
    </row>
    <row r="5558" spans="4:4" x14ac:dyDescent="0.25">
      <c r="D5558" s="102"/>
    </row>
    <row r="5559" spans="4:4" x14ac:dyDescent="0.25">
      <c r="D5559" s="102"/>
    </row>
    <row r="5560" spans="4:4" x14ac:dyDescent="0.25">
      <c r="D5560" s="102"/>
    </row>
    <row r="5561" spans="4:4" x14ac:dyDescent="0.25">
      <c r="D5561" s="102"/>
    </row>
    <row r="5562" spans="4:4" x14ac:dyDescent="0.25">
      <c r="D5562" s="102"/>
    </row>
    <row r="5563" spans="4:4" x14ac:dyDescent="0.25">
      <c r="D5563" s="102"/>
    </row>
    <row r="5564" spans="4:4" x14ac:dyDescent="0.25">
      <c r="D5564" s="102"/>
    </row>
    <row r="5565" spans="4:4" x14ac:dyDescent="0.25">
      <c r="D5565" s="102"/>
    </row>
    <row r="5566" spans="4:4" x14ac:dyDescent="0.25">
      <c r="D5566" s="102"/>
    </row>
    <row r="5567" spans="4:4" x14ac:dyDescent="0.25">
      <c r="D5567" s="102"/>
    </row>
    <row r="5568" spans="4:4" x14ac:dyDescent="0.25">
      <c r="D5568" s="102"/>
    </row>
    <row r="5569" spans="4:4" x14ac:dyDescent="0.25">
      <c r="D5569" s="102"/>
    </row>
    <row r="5570" spans="4:4" x14ac:dyDescent="0.25">
      <c r="D5570" s="102"/>
    </row>
    <row r="5571" spans="4:4" x14ac:dyDescent="0.25">
      <c r="D5571" s="102"/>
    </row>
    <row r="5572" spans="4:4" x14ac:dyDescent="0.25">
      <c r="D5572" s="102"/>
    </row>
    <row r="5573" spans="4:4" x14ac:dyDescent="0.25">
      <c r="D5573" s="102"/>
    </row>
    <row r="5574" spans="4:4" x14ac:dyDescent="0.25">
      <c r="D5574" s="102"/>
    </row>
    <row r="5575" spans="4:4" x14ac:dyDescent="0.25">
      <c r="D5575" s="102"/>
    </row>
    <row r="5576" spans="4:4" x14ac:dyDescent="0.25">
      <c r="D5576" s="102"/>
    </row>
    <row r="5577" spans="4:4" x14ac:dyDescent="0.25">
      <c r="D5577" s="102"/>
    </row>
    <row r="5578" spans="4:4" x14ac:dyDescent="0.25">
      <c r="D5578" s="102"/>
    </row>
    <row r="5579" spans="4:4" x14ac:dyDescent="0.25">
      <c r="D5579" s="102"/>
    </row>
    <row r="5580" spans="4:4" x14ac:dyDescent="0.25">
      <c r="D5580" s="102"/>
    </row>
    <row r="5581" spans="4:4" x14ac:dyDescent="0.25">
      <c r="D5581" s="102"/>
    </row>
    <row r="5582" spans="4:4" x14ac:dyDescent="0.25">
      <c r="D5582" s="102"/>
    </row>
    <row r="5583" spans="4:4" x14ac:dyDescent="0.25">
      <c r="D5583" s="102"/>
    </row>
    <row r="5584" spans="4:4" x14ac:dyDescent="0.25">
      <c r="D5584" s="102"/>
    </row>
    <row r="5585" spans="4:4" x14ac:dyDescent="0.25">
      <c r="D5585" s="102"/>
    </row>
    <row r="5586" spans="4:4" x14ac:dyDescent="0.25">
      <c r="D5586" s="102"/>
    </row>
    <row r="5587" spans="4:4" x14ac:dyDescent="0.25">
      <c r="D5587" s="102"/>
    </row>
    <row r="5588" spans="4:4" x14ac:dyDescent="0.25">
      <c r="D5588" s="102"/>
    </row>
    <row r="5589" spans="4:4" x14ac:dyDescent="0.25">
      <c r="D5589" s="102"/>
    </row>
    <row r="5590" spans="4:4" x14ac:dyDescent="0.25">
      <c r="D5590" s="102"/>
    </row>
    <row r="5591" spans="4:4" x14ac:dyDescent="0.25">
      <c r="D5591" s="102"/>
    </row>
    <row r="5592" spans="4:4" x14ac:dyDescent="0.25">
      <c r="D5592" s="102"/>
    </row>
    <row r="5593" spans="4:4" x14ac:dyDescent="0.25">
      <c r="D5593" s="102"/>
    </row>
    <row r="5594" spans="4:4" x14ac:dyDescent="0.25">
      <c r="D5594" s="102"/>
    </row>
    <row r="5595" spans="4:4" x14ac:dyDescent="0.25">
      <c r="D5595" s="102"/>
    </row>
    <row r="5596" spans="4:4" x14ac:dyDescent="0.25">
      <c r="D5596" s="102"/>
    </row>
    <row r="5597" spans="4:4" x14ac:dyDescent="0.25">
      <c r="D5597" s="102"/>
    </row>
    <row r="5598" spans="4:4" x14ac:dyDescent="0.25">
      <c r="D5598" s="102"/>
    </row>
    <row r="5599" spans="4:4" x14ac:dyDescent="0.25">
      <c r="D5599" s="102"/>
    </row>
    <row r="5600" spans="4:4" x14ac:dyDescent="0.25">
      <c r="D5600" s="102"/>
    </row>
    <row r="5601" spans="4:4" x14ac:dyDescent="0.25">
      <c r="D5601" s="102"/>
    </row>
    <row r="5602" spans="4:4" x14ac:dyDescent="0.25">
      <c r="D5602" s="102"/>
    </row>
    <row r="5603" spans="4:4" x14ac:dyDescent="0.25">
      <c r="D5603" s="102"/>
    </row>
    <row r="5604" spans="4:4" x14ac:dyDescent="0.25">
      <c r="D5604" s="102"/>
    </row>
    <row r="5605" spans="4:4" x14ac:dyDescent="0.25">
      <c r="D5605" s="102"/>
    </row>
    <row r="5606" spans="4:4" x14ac:dyDescent="0.25">
      <c r="D5606" s="102"/>
    </row>
    <row r="5607" spans="4:4" x14ac:dyDescent="0.25">
      <c r="D5607" s="102"/>
    </row>
    <row r="5608" spans="4:4" x14ac:dyDescent="0.25">
      <c r="D5608" s="102"/>
    </row>
    <row r="5609" spans="4:4" x14ac:dyDescent="0.25">
      <c r="D5609" s="102"/>
    </row>
    <row r="5610" spans="4:4" x14ac:dyDescent="0.25">
      <c r="D5610" s="102"/>
    </row>
    <row r="5611" spans="4:4" x14ac:dyDescent="0.25">
      <c r="D5611" s="102"/>
    </row>
    <row r="5612" spans="4:4" x14ac:dyDescent="0.25">
      <c r="D5612" s="102"/>
    </row>
    <row r="5613" spans="4:4" x14ac:dyDescent="0.25">
      <c r="D5613" s="102"/>
    </row>
    <row r="5614" spans="4:4" x14ac:dyDescent="0.25">
      <c r="D5614" s="102"/>
    </row>
    <row r="5615" spans="4:4" x14ac:dyDescent="0.25">
      <c r="D5615" s="102"/>
    </row>
    <row r="5616" spans="4:4" x14ac:dyDescent="0.25">
      <c r="D5616" s="102"/>
    </row>
    <row r="5617" spans="4:4" x14ac:dyDescent="0.25">
      <c r="D5617" s="102"/>
    </row>
    <row r="5618" spans="4:4" x14ac:dyDescent="0.25">
      <c r="D5618" s="102"/>
    </row>
    <row r="5619" spans="4:4" x14ac:dyDescent="0.25">
      <c r="D5619" s="102"/>
    </row>
    <row r="5620" spans="4:4" x14ac:dyDescent="0.25">
      <c r="D5620" s="102"/>
    </row>
    <row r="5621" spans="4:4" x14ac:dyDescent="0.25">
      <c r="D5621" s="102"/>
    </row>
    <row r="5622" spans="4:4" x14ac:dyDescent="0.25">
      <c r="D5622" s="102"/>
    </row>
    <row r="5623" spans="4:4" x14ac:dyDescent="0.25">
      <c r="D5623" s="102"/>
    </row>
    <row r="5624" spans="4:4" x14ac:dyDescent="0.25">
      <c r="D5624" s="102"/>
    </row>
    <row r="5625" spans="4:4" x14ac:dyDescent="0.25">
      <c r="D5625" s="102"/>
    </row>
    <row r="5626" spans="4:4" x14ac:dyDescent="0.25">
      <c r="D5626" s="102"/>
    </row>
    <row r="5627" spans="4:4" x14ac:dyDescent="0.25">
      <c r="D5627" s="102"/>
    </row>
    <row r="5628" spans="4:4" x14ac:dyDescent="0.25">
      <c r="D5628" s="102"/>
    </row>
    <row r="5629" spans="4:4" x14ac:dyDescent="0.25">
      <c r="D5629" s="102"/>
    </row>
    <row r="5630" spans="4:4" x14ac:dyDescent="0.25">
      <c r="D5630" s="102"/>
    </row>
    <row r="5631" spans="4:4" x14ac:dyDescent="0.25">
      <c r="D5631" s="102"/>
    </row>
    <row r="5632" spans="4:4" x14ac:dyDescent="0.25">
      <c r="D5632" s="102"/>
    </row>
    <row r="5633" spans="4:4" x14ac:dyDescent="0.25">
      <c r="D5633" s="102"/>
    </row>
    <row r="5634" spans="4:4" x14ac:dyDescent="0.25">
      <c r="D5634" s="102"/>
    </row>
    <row r="5635" spans="4:4" x14ac:dyDescent="0.25">
      <c r="D5635" s="102"/>
    </row>
    <row r="5636" spans="4:4" x14ac:dyDescent="0.25">
      <c r="D5636" s="102"/>
    </row>
    <row r="5637" spans="4:4" x14ac:dyDescent="0.25">
      <c r="D5637" s="102"/>
    </row>
    <row r="5638" spans="4:4" x14ac:dyDescent="0.25">
      <c r="D5638" s="102"/>
    </row>
    <row r="5639" spans="4:4" x14ac:dyDescent="0.25">
      <c r="D5639" s="102"/>
    </row>
    <row r="5640" spans="4:4" x14ac:dyDescent="0.25">
      <c r="D5640" s="102"/>
    </row>
    <row r="5641" spans="4:4" x14ac:dyDescent="0.25">
      <c r="D5641" s="102"/>
    </row>
    <row r="5642" spans="4:4" x14ac:dyDescent="0.25">
      <c r="D5642" s="102"/>
    </row>
    <row r="5643" spans="4:4" x14ac:dyDescent="0.25">
      <c r="D5643" s="102"/>
    </row>
    <row r="5644" spans="4:4" x14ac:dyDescent="0.25">
      <c r="D5644" s="102"/>
    </row>
    <row r="5645" spans="4:4" x14ac:dyDescent="0.25">
      <c r="D5645" s="102"/>
    </row>
    <row r="5646" spans="4:4" x14ac:dyDescent="0.25">
      <c r="D5646" s="102"/>
    </row>
    <row r="5647" spans="4:4" x14ac:dyDescent="0.25">
      <c r="D5647" s="102"/>
    </row>
    <row r="5648" spans="4:4" x14ac:dyDescent="0.25">
      <c r="D5648" s="102"/>
    </row>
    <row r="5649" spans="4:4" x14ac:dyDescent="0.25">
      <c r="D5649" s="102"/>
    </row>
    <row r="5650" spans="4:4" x14ac:dyDescent="0.25">
      <c r="D5650" s="102"/>
    </row>
    <row r="5651" spans="4:4" x14ac:dyDescent="0.25">
      <c r="D5651" s="102"/>
    </row>
    <row r="5652" spans="4:4" x14ac:dyDescent="0.25">
      <c r="D5652" s="102"/>
    </row>
    <row r="5653" spans="4:4" x14ac:dyDescent="0.25">
      <c r="D5653" s="102"/>
    </row>
    <row r="5654" spans="4:4" x14ac:dyDescent="0.25">
      <c r="D5654" s="102"/>
    </row>
    <row r="5655" spans="4:4" x14ac:dyDescent="0.25">
      <c r="D5655" s="102"/>
    </row>
    <row r="5656" spans="4:4" x14ac:dyDescent="0.25">
      <c r="D5656" s="102"/>
    </row>
    <row r="5657" spans="4:4" x14ac:dyDescent="0.25">
      <c r="D5657" s="102"/>
    </row>
    <row r="5658" spans="4:4" x14ac:dyDescent="0.25">
      <c r="D5658" s="102"/>
    </row>
    <row r="5659" spans="4:4" x14ac:dyDescent="0.25">
      <c r="D5659" s="102"/>
    </row>
    <row r="5660" spans="4:4" x14ac:dyDescent="0.25">
      <c r="D5660" s="102"/>
    </row>
    <row r="5661" spans="4:4" x14ac:dyDescent="0.25">
      <c r="D5661" s="102"/>
    </row>
    <row r="5662" spans="4:4" x14ac:dyDescent="0.25">
      <c r="D5662" s="102"/>
    </row>
    <row r="5663" spans="4:4" x14ac:dyDescent="0.25">
      <c r="D5663" s="102"/>
    </row>
    <row r="5664" spans="4:4" x14ac:dyDescent="0.25">
      <c r="D5664" s="102"/>
    </row>
    <row r="5665" spans="4:4" x14ac:dyDescent="0.25">
      <c r="D5665" s="102"/>
    </row>
    <row r="5666" spans="4:4" x14ac:dyDescent="0.25">
      <c r="D5666" s="102"/>
    </row>
    <row r="5667" spans="4:4" x14ac:dyDescent="0.25">
      <c r="D5667" s="102"/>
    </row>
    <row r="5668" spans="4:4" x14ac:dyDescent="0.25">
      <c r="D5668" s="102"/>
    </row>
    <row r="5669" spans="4:4" x14ac:dyDescent="0.25">
      <c r="D5669" s="102"/>
    </row>
    <row r="5670" spans="4:4" x14ac:dyDescent="0.25">
      <c r="D5670" s="102"/>
    </row>
    <row r="5671" spans="4:4" x14ac:dyDescent="0.25">
      <c r="D5671" s="102"/>
    </row>
    <row r="5672" spans="4:4" x14ac:dyDescent="0.25">
      <c r="D5672" s="102"/>
    </row>
    <row r="5673" spans="4:4" x14ac:dyDescent="0.25">
      <c r="D5673" s="102"/>
    </row>
    <row r="5674" spans="4:4" x14ac:dyDescent="0.25">
      <c r="D5674" s="102"/>
    </row>
    <row r="5675" spans="4:4" x14ac:dyDescent="0.25">
      <c r="D5675" s="102"/>
    </row>
    <row r="5676" spans="4:4" x14ac:dyDescent="0.25">
      <c r="D5676" s="102"/>
    </row>
    <row r="5677" spans="4:4" x14ac:dyDescent="0.25">
      <c r="D5677" s="102"/>
    </row>
    <row r="5678" spans="4:4" x14ac:dyDescent="0.25">
      <c r="D5678" s="102"/>
    </row>
    <row r="5679" spans="4:4" x14ac:dyDescent="0.25">
      <c r="D5679" s="102"/>
    </row>
    <row r="5680" spans="4:4" x14ac:dyDescent="0.25">
      <c r="D5680" s="102"/>
    </row>
    <row r="5681" spans="4:4" x14ac:dyDescent="0.25">
      <c r="D5681" s="102"/>
    </row>
    <row r="5682" spans="4:4" x14ac:dyDescent="0.25">
      <c r="D5682" s="102"/>
    </row>
    <row r="5683" spans="4:4" x14ac:dyDescent="0.25">
      <c r="D5683" s="102"/>
    </row>
    <row r="5684" spans="4:4" x14ac:dyDescent="0.25">
      <c r="D5684" s="102"/>
    </row>
    <row r="5685" spans="4:4" x14ac:dyDescent="0.25">
      <c r="D5685" s="102"/>
    </row>
    <row r="5686" spans="4:4" x14ac:dyDescent="0.25">
      <c r="D5686" s="102"/>
    </row>
    <row r="5687" spans="4:4" x14ac:dyDescent="0.25">
      <c r="D5687" s="102"/>
    </row>
    <row r="5688" spans="4:4" x14ac:dyDescent="0.25">
      <c r="D5688" s="102"/>
    </row>
    <row r="5689" spans="4:4" x14ac:dyDescent="0.25">
      <c r="D5689" s="102"/>
    </row>
    <row r="5690" spans="4:4" x14ac:dyDescent="0.25">
      <c r="D5690" s="102"/>
    </row>
    <row r="5691" spans="4:4" x14ac:dyDescent="0.25">
      <c r="D5691" s="102"/>
    </row>
    <row r="5692" spans="4:4" x14ac:dyDescent="0.25">
      <c r="D5692" s="102"/>
    </row>
    <row r="5693" spans="4:4" x14ac:dyDescent="0.25">
      <c r="D5693" s="102"/>
    </row>
    <row r="5694" spans="4:4" x14ac:dyDescent="0.25">
      <c r="D5694" s="102"/>
    </row>
    <row r="5695" spans="4:4" x14ac:dyDescent="0.25">
      <c r="D5695" s="102"/>
    </row>
    <row r="5696" spans="4:4" x14ac:dyDescent="0.25">
      <c r="D5696" s="102"/>
    </row>
    <row r="5697" spans="4:4" x14ac:dyDescent="0.25">
      <c r="D5697" s="102"/>
    </row>
    <row r="5698" spans="4:4" x14ac:dyDescent="0.25">
      <c r="D5698" s="102"/>
    </row>
    <row r="5699" spans="4:4" x14ac:dyDescent="0.25">
      <c r="D5699" s="102"/>
    </row>
    <row r="5700" spans="4:4" x14ac:dyDescent="0.25">
      <c r="D5700" s="102"/>
    </row>
    <row r="5701" spans="4:4" x14ac:dyDescent="0.25">
      <c r="D5701" s="102"/>
    </row>
    <row r="5702" spans="4:4" x14ac:dyDescent="0.25">
      <c r="D5702" s="102"/>
    </row>
    <row r="5703" spans="4:4" x14ac:dyDescent="0.25">
      <c r="D5703" s="102"/>
    </row>
    <row r="5704" spans="4:4" x14ac:dyDescent="0.25">
      <c r="D5704" s="102"/>
    </row>
    <row r="5705" spans="4:4" x14ac:dyDescent="0.25">
      <c r="D5705" s="102"/>
    </row>
    <row r="5706" spans="4:4" x14ac:dyDescent="0.25">
      <c r="D5706" s="102"/>
    </row>
    <row r="5707" spans="4:4" x14ac:dyDescent="0.25">
      <c r="D5707" s="102"/>
    </row>
    <row r="5708" spans="4:4" x14ac:dyDescent="0.25">
      <c r="D5708" s="102"/>
    </row>
    <row r="5709" spans="4:4" x14ac:dyDescent="0.25">
      <c r="D5709" s="102"/>
    </row>
    <row r="5710" spans="4:4" x14ac:dyDescent="0.25">
      <c r="D5710" s="102"/>
    </row>
    <row r="5711" spans="4:4" x14ac:dyDescent="0.25">
      <c r="D5711" s="102"/>
    </row>
    <row r="5712" spans="4:4" x14ac:dyDescent="0.25">
      <c r="D5712" s="102"/>
    </row>
    <row r="5713" spans="4:4" x14ac:dyDescent="0.25">
      <c r="D5713" s="102"/>
    </row>
    <row r="5714" spans="4:4" x14ac:dyDescent="0.25">
      <c r="D5714" s="102"/>
    </row>
    <row r="5715" spans="4:4" x14ac:dyDescent="0.25">
      <c r="D5715" s="102"/>
    </row>
    <row r="5716" spans="4:4" x14ac:dyDescent="0.25">
      <c r="D5716" s="102"/>
    </row>
    <row r="5717" spans="4:4" x14ac:dyDescent="0.25">
      <c r="D5717" s="102"/>
    </row>
    <row r="5718" spans="4:4" x14ac:dyDescent="0.25">
      <c r="D5718" s="102"/>
    </row>
    <row r="5719" spans="4:4" x14ac:dyDescent="0.25">
      <c r="D5719" s="102"/>
    </row>
    <row r="5720" spans="4:4" x14ac:dyDescent="0.25">
      <c r="D5720" s="102"/>
    </row>
    <row r="5721" spans="4:4" x14ac:dyDescent="0.25">
      <c r="D5721" s="102"/>
    </row>
    <row r="5722" spans="4:4" x14ac:dyDescent="0.25">
      <c r="D5722" s="102"/>
    </row>
    <row r="5723" spans="4:4" x14ac:dyDescent="0.25">
      <c r="D5723" s="102"/>
    </row>
    <row r="5724" spans="4:4" x14ac:dyDescent="0.25">
      <c r="D5724" s="102"/>
    </row>
    <row r="5725" spans="4:4" x14ac:dyDescent="0.25">
      <c r="D5725" s="102"/>
    </row>
    <row r="5726" spans="4:4" x14ac:dyDescent="0.25">
      <c r="D5726" s="102"/>
    </row>
    <row r="5727" spans="4:4" x14ac:dyDescent="0.25">
      <c r="D5727" s="102"/>
    </row>
    <row r="5728" spans="4:4" x14ac:dyDescent="0.25">
      <c r="D5728" s="102"/>
    </row>
    <row r="5729" spans="4:4" x14ac:dyDescent="0.25">
      <c r="D5729" s="102"/>
    </row>
    <row r="5730" spans="4:4" x14ac:dyDescent="0.25">
      <c r="D5730" s="102"/>
    </row>
    <row r="5731" spans="4:4" x14ac:dyDescent="0.25">
      <c r="D5731" s="102"/>
    </row>
    <row r="5732" spans="4:4" x14ac:dyDescent="0.25">
      <c r="D5732" s="102"/>
    </row>
    <row r="5733" spans="4:4" x14ac:dyDescent="0.25">
      <c r="D5733" s="102"/>
    </row>
    <row r="5734" spans="4:4" x14ac:dyDescent="0.25">
      <c r="D5734" s="102"/>
    </row>
    <row r="5735" spans="4:4" x14ac:dyDescent="0.25">
      <c r="D5735" s="102"/>
    </row>
    <row r="5736" spans="4:4" x14ac:dyDescent="0.25">
      <c r="D5736" s="102"/>
    </row>
    <row r="5737" spans="4:4" x14ac:dyDescent="0.25">
      <c r="D5737" s="102"/>
    </row>
    <row r="5738" spans="4:4" x14ac:dyDescent="0.25">
      <c r="D5738" s="102"/>
    </row>
    <row r="5739" spans="4:4" x14ac:dyDescent="0.25">
      <c r="D5739" s="102"/>
    </row>
    <row r="5740" spans="4:4" x14ac:dyDescent="0.25">
      <c r="D5740" s="102"/>
    </row>
    <row r="5741" spans="4:4" x14ac:dyDescent="0.25">
      <c r="D5741" s="102"/>
    </row>
    <row r="5742" spans="4:4" x14ac:dyDescent="0.25">
      <c r="D5742" s="102"/>
    </row>
    <row r="5743" spans="4:4" x14ac:dyDescent="0.25">
      <c r="D5743" s="102"/>
    </row>
    <row r="5744" spans="4:4" x14ac:dyDescent="0.25">
      <c r="D5744" s="102"/>
    </row>
    <row r="5745" spans="4:4" x14ac:dyDescent="0.25">
      <c r="D5745" s="102"/>
    </row>
    <row r="5746" spans="4:4" x14ac:dyDescent="0.25">
      <c r="D5746" s="102"/>
    </row>
    <row r="5747" spans="4:4" x14ac:dyDescent="0.25">
      <c r="D5747" s="102"/>
    </row>
    <row r="5748" spans="4:4" x14ac:dyDescent="0.25">
      <c r="D5748" s="102"/>
    </row>
    <row r="5749" spans="4:4" x14ac:dyDescent="0.25">
      <c r="D5749" s="102"/>
    </row>
    <row r="5750" spans="4:4" x14ac:dyDescent="0.25">
      <c r="D5750" s="102"/>
    </row>
    <row r="5751" spans="4:4" x14ac:dyDescent="0.25">
      <c r="D5751" s="102"/>
    </row>
    <row r="5752" spans="4:4" x14ac:dyDescent="0.25">
      <c r="D5752" s="102"/>
    </row>
    <row r="5753" spans="4:4" x14ac:dyDescent="0.25">
      <c r="D5753" s="102"/>
    </row>
    <row r="5754" spans="4:4" x14ac:dyDescent="0.25">
      <c r="D5754" s="102"/>
    </row>
    <row r="5755" spans="4:4" x14ac:dyDescent="0.25">
      <c r="D5755" s="102"/>
    </row>
    <row r="5756" spans="4:4" x14ac:dyDescent="0.25">
      <c r="D5756" s="102"/>
    </row>
    <row r="5757" spans="4:4" x14ac:dyDescent="0.25">
      <c r="D5757" s="102"/>
    </row>
    <row r="5758" spans="4:4" x14ac:dyDescent="0.25">
      <c r="D5758" s="102"/>
    </row>
    <row r="5759" spans="4:4" x14ac:dyDescent="0.25">
      <c r="D5759" s="102"/>
    </row>
    <row r="5760" spans="4:4" x14ac:dyDescent="0.25">
      <c r="D5760" s="102"/>
    </row>
    <row r="5761" spans="4:4" x14ac:dyDescent="0.25">
      <c r="D5761" s="102"/>
    </row>
    <row r="5762" spans="4:4" x14ac:dyDescent="0.25">
      <c r="D5762" s="102"/>
    </row>
    <row r="5763" spans="4:4" x14ac:dyDescent="0.25">
      <c r="D5763" s="102"/>
    </row>
    <row r="5764" spans="4:4" x14ac:dyDescent="0.25">
      <c r="D5764" s="102"/>
    </row>
    <row r="5765" spans="4:4" x14ac:dyDescent="0.25">
      <c r="D5765" s="102"/>
    </row>
    <row r="5766" spans="4:4" x14ac:dyDescent="0.25">
      <c r="D5766" s="102"/>
    </row>
    <row r="5767" spans="4:4" x14ac:dyDescent="0.25">
      <c r="D5767" s="102"/>
    </row>
    <row r="5768" spans="4:4" x14ac:dyDescent="0.25">
      <c r="D5768" s="102"/>
    </row>
    <row r="5769" spans="4:4" x14ac:dyDescent="0.25">
      <c r="D5769" s="102"/>
    </row>
    <row r="5770" spans="4:4" x14ac:dyDescent="0.25">
      <c r="D5770" s="102"/>
    </row>
    <row r="5771" spans="4:4" x14ac:dyDescent="0.25">
      <c r="D5771" s="102"/>
    </row>
    <row r="5772" spans="4:4" x14ac:dyDescent="0.25">
      <c r="D5772" s="102"/>
    </row>
    <row r="5773" spans="4:4" x14ac:dyDescent="0.25">
      <c r="D5773" s="102"/>
    </row>
    <row r="5774" spans="4:4" x14ac:dyDescent="0.25">
      <c r="D5774" s="102"/>
    </row>
    <row r="5775" spans="4:4" x14ac:dyDescent="0.25">
      <c r="D5775" s="102"/>
    </row>
    <row r="5776" spans="4:4" x14ac:dyDescent="0.25">
      <c r="D5776" s="102"/>
    </row>
    <row r="5777" spans="4:4" x14ac:dyDescent="0.25">
      <c r="D5777" s="102"/>
    </row>
    <row r="5778" spans="4:4" x14ac:dyDescent="0.25">
      <c r="D5778" s="102"/>
    </row>
    <row r="5779" spans="4:4" x14ac:dyDescent="0.25">
      <c r="D5779" s="102"/>
    </row>
    <row r="5780" spans="4:4" x14ac:dyDescent="0.25">
      <c r="D5780" s="102"/>
    </row>
    <row r="5781" spans="4:4" x14ac:dyDescent="0.25">
      <c r="D5781" s="102"/>
    </row>
    <row r="5782" spans="4:4" x14ac:dyDescent="0.25">
      <c r="D5782" s="102"/>
    </row>
    <row r="5783" spans="4:4" x14ac:dyDescent="0.25">
      <c r="D5783" s="102"/>
    </row>
    <row r="5784" spans="4:4" x14ac:dyDescent="0.25">
      <c r="D5784" s="102"/>
    </row>
    <row r="5785" spans="4:4" x14ac:dyDescent="0.25">
      <c r="D5785" s="102"/>
    </row>
    <row r="5786" spans="4:4" x14ac:dyDescent="0.25">
      <c r="D5786" s="102"/>
    </row>
    <row r="5787" spans="4:4" x14ac:dyDescent="0.25">
      <c r="D5787" s="102"/>
    </row>
    <row r="5788" spans="4:4" x14ac:dyDescent="0.25">
      <c r="D5788" s="102"/>
    </row>
    <row r="5789" spans="4:4" x14ac:dyDescent="0.25">
      <c r="D5789" s="102"/>
    </row>
    <row r="5790" spans="4:4" x14ac:dyDescent="0.25">
      <c r="D5790" s="102"/>
    </row>
    <row r="5791" spans="4:4" x14ac:dyDescent="0.25">
      <c r="D5791" s="102"/>
    </row>
    <row r="5792" spans="4:4" x14ac:dyDescent="0.25">
      <c r="D5792" s="102"/>
    </row>
    <row r="5793" spans="4:4" x14ac:dyDescent="0.25">
      <c r="D5793" s="102"/>
    </row>
    <row r="5794" spans="4:4" x14ac:dyDescent="0.25">
      <c r="D5794" s="102"/>
    </row>
    <row r="5795" spans="4:4" x14ac:dyDescent="0.25">
      <c r="D5795" s="102"/>
    </row>
    <row r="5796" spans="4:4" x14ac:dyDescent="0.25">
      <c r="D5796" s="102"/>
    </row>
    <row r="5797" spans="4:4" x14ac:dyDescent="0.25">
      <c r="D5797" s="102"/>
    </row>
    <row r="5798" spans="4:4" x14ac:dyDescent="0.25">
      <c r="D5798" s="102"/>
    </row>
    <row r="5799" spans="4:4" x14ac:dyDescent="0.25">
      <c r="D5799" s="102"/>
    </row>
    <row r="5800" spans="4:4" x14ac:dyDescent="0.25">
      <c r="D5800" s="102"/>
    </row>
    <row r="5801" spans="4:4" x14ac:dyDescent="0.25">
      <c r="D5801" s="102"/>
    </row>
    <row r="5802" spans="4:4" x14ac:dyDescent="0.25">
      <c r="D5802" s="102"/>
    </row>
    <row r="5803" spans="4:4" x14ac:dyDescent="0.25">
      <c r="D5803" s="102"/>
    </row>
    <row r="5804" spans="4:4" x14ac:dyDescent="0.25">
      <c r="D5804" s="102"/>
    </row>
    <row r="5805" spans="4:4" x14ac:dyDescent="0.25">
      <c r="D5805" s="102"/>
    </row>
    <row r="5806" spans="4:4" x14ac:dyDescent="0.25">
      <c r="D5806" s="102"/>
    </row>
    <row r="5807" spans="4:4" x14ac:dyDescent="0.25">
      <c r="D5807" s="102"/>
    </row>
    <row r="5808" spans="4:4" x14ac:dyDescent="0.25">
      <c r="D5808" s="102"/>
    </row>
    <row r="5809" spans="4:4" x14ac:dyDescent="0.25">
      <c r="D5809" s="102"/>
    </row>
    <row r="5810" spans="4:4" x14ac:dyDescent="0.25">
      <c r="D5810" s="102"/>
    </row>
    <row r="5811" spans="4:4" x14ac:dyDescent="0.25">
      <c r="D5811" s="102"/>
    </row>
    <row r="5812" spans="4:4" x14ac:dyDescent="0.25">
      <c r="D5812" s="102"/>
    </row>
    <row r="5813" spans="4:4" x14ac:dyDescent="0.25">
      <c r="D5813" s="102"/>
    </row>
    <row r="5814" spans="4:4" x14ac:dyDescent="0.25">
      <c r="D5814" s="102"/>
    </row>
    <row r="5815" spans="4:4" x14ac:dyDescent="0.25">
      <c r="D5815" s="102"/>
    </row>
    <row r="5816" spans="4:4" x14ac:dyDescent="0.25">
      <c r="D5816" s="102"/>
    </row>
    <row r="5817" spans="4:4" x14ac:dyDescent="0.25">
      <c r="D5817" s="102"/>
    </row>
    <row r="5818" spans="4:4" x14ac:dyDescent="0.25">
      <c r="D5818" s="102"/>
    </row>
    <row r="5819" spans="4:4" x14ac:dyDescent="0.25">
      <c r="D5819" s="102"/>
    </row>
    <row r="5820" spans="4:4" x14ac:dyDescent="0.25">
      <c r="D5820" s="102"/>
    </row>
    <row r="5821" spans="4:4" x14ac:dyDescent="0.25">
      <c r="D5821" s="102"/>
    </row>
    <row r="5822" spans="4:4" x14ac:dyDescent="0.25">
      <c r="D5822" s="102"/>
    </row>
    <row r="5823" spans="4:4" x14ac:dyDescent="0.25">
      <c r="D5823" s="102"/>
    </row>
    <row r="5824" spans="4:4" x14ac:dyDescent="0.25">
      <c r="D5824" s="102"/>
    </row>
    <row r="5825" spans="4:4" x14ac:dyDescent="0.25">
      <c r="D5825" s="102"/>
    </row>
    <row r="5826" spans="4:4" x14ac:dyDescent="0.25">
      <c r="D5826" s="102"/>
    </row>
    <row r="5827" spans="4:4" x14ac:dyDescent="0.25">
      <c r="D5827" s="102"/>
    </row>
    <row r="5828" spans="4:4" x14ac:dyDescent="0.25">
      <c r="D5828" s="102"/>
    </row>
    <row r="5829" spans="4:4" x14ac:dyDescent="0.25">
      <c r="D5829" s="102"/>
    </row>
    <row r="5830" spans="4:4" x14ac:dyDescent="0.25">
      <c r="D5830" s="102"/>
    </row>
    <row r="5831" spans="4:4" x14ac:dyDescent="0.25">
      <c r="D5831" s="102"/>
    </row>
    <row r="5832" spans="4:4" x14ac:dyDescent="0.25">
      <c r="D5832" s="102"/>
    </row>
    <row r="5833" spans="4:4" x14ac:dyDescent="0.25">
      <c r="D5833" s="102"/>
    </row>
    <row r="5834" spans="4:4" x14ac:dyDescent="0.25">
      <c r="D5834" s="102"/>
    </row>
    <row r="5835" spans="4:4" x14ac:dyDescent="0.25">
      <c r="D5835" s="102"/>
    </row>
    <row r="5836" spans="4:4" x14ac:dyDescent="0.25">
      <c r="D5836" s="102"/>
    </row>
    <row r="5837" spans="4:4" x14ac:dyDescent="0.25">
      <c r="D5837" s="102"/>
    </row>
    <row r="5838" spans="4:4" x14ac:dyDescent="0.25">
      <c r="D5838" s="102"/>
    </row>
    <row r="5839" spans="4:4" x14ac:dyDescent="0.25">
      <c r="D5839" s="102"/>
    </row>
    <row r="5840" spans="4:4" x14ac:dyDescent="0.25">
      <c r="D5840" s="102"/>
    </row>
    <row r="5841" spans="4:4" x14ac:dyDescent="0.25">
      <c r="D5841" s="102"/>
    </row>
    <row r="5842" spans="4:4" x14ac:dyDescent="0.25">
      <c r="D5842" s="102"/>
    </row>
    <row r="5843" spans="4:4" x14ac:dyDescent="0.25">
      <c r="D5843" s="102"/>
    </row>
    <row r="5844" spans="4:4" x14ac:dyDescent="0.25">
      <c r="D5844" s="102"/>
    </row>
    <row r="5845" spans="4:4" x14ac:dyDescent="0.25">
      <c r="D5845" s="102"/>
    </row>
    <row r="5846" spans="4:4" x14ac:dyDescent="0.25">
      <c r="D5846" s="102"/>
    </row>
    <row r="5847" spans="4:4" x14ac:dyDescent="0.25">
      <c r="D5847" s="102"/>
    </row>
    <row r="5848" spans="4:4" x14ac:dyDescent="0.25">
      <c r="D5848" s="102"/>
    </row>
    <row r="5849" spans="4:4" x14ac:dyDescent="0.25">
      <c r="D5849" s="102"/>
    </row>
    <row r="5850" spans="4:4" x14ac:dyDescent="0.25">
      <c r="D5850" s="102"/>
    </row>
    <row r="5851" spans="4:4" x14ac:dyDescent="0.25">
      <c r="D5851" s="102"/>
    </row>
    <row r="5852" spans="4:4" x14ac:dyDescent="0.25">
      <c r="D5852" s="102"/>
    </row>
    <row r="5853" spans="4:4" x14ac:dyDescent="0.25">
      <c r="D5853" s="102"/>
    </row>
    <row r="5854" spans="4:4" x14ac:dyDescent="0.25">
      <c r="D5854" s="102"/>
    </row>
    <row r="5855" spans="4:4" x14ac:dyDescent="0.25">
      <c r="D5855" s="102"/>
    </row>
    <row r="5856" spans="4:4" x14ac:dyDescent="0.25">
      <c r="D5856" s="102"/>
    </row>
    <row r="5857" spans="4:4" x14ac:dyDescent="0.25">
      <c r="D5857" s="102"/>
    </row>
    <row r="5858" spans="4:4" x14ac:dyDescent="0.25">
      <c r="D5858" s="102"/>
    </row>
    <row r="5859" spans="4:4" x14ac:dyDescent="0.25">
      <c r="D5859" s="102"/>
    </row>
    <row r="5860" spans="4:4" x14ac:dyDescent="0.25">
      <c r="D5860" s="102"/>
    </row>
    <row r="5861" spans="4:4" x14ac:dyDescent="0.25">
      <c r="D5861" s="102"/>
    </row>
    <row r="5862" spans="4:4" x14ac:dyDescent="0.25">
      <c r="D5862" s="102"/>
    </row>
    <row r="5863" spans="4:4" x14ac:dyDescent="0.25">
      <c r="D5863" s="102"/>
    </row>
    <row r="5864" spans="4:4" x14ac:dyDescent="0.25">
      <c r="D5864" s="102"/>
    </row>
    <row r="5865" spans="4:4" x14ac:dyDescent="0.25">
      <c r="D5865" s="102"/>
    </row>
    <row r="5866" spans="4:4" x14ac:dyDescent="0.25">
      <c r="D5866" s="102"/>
    </row>
    <row r="5867" spans="4:4" x14ac:dyDescent="0.25">
      <c r="D5867" s="102"/>
    </row>
    <row r="5868" spans="4:4" x14ac:dyDescent="0.25">
      <c r="D5868" s="102"/>
    </row>
    <row r="5869" spans="4:4" x14ac:dyDescent="0.25">
      <c r="D5869" s="102"/>
    </row>
    <row r="5870" spans="4:4" x14ac:dyDescent="0.25">
      <c r="D5870" s="102"/>
    </row>
    <row r="5871" spans="4:4" x14ac:dyDescent="0.25">
      <c r="D5871" s="102"/>
    </row>
    <row r="5872" spans="4:4" x14ac:dyDescent="0.25">
      <c r="D5872" s="102"/>
    </row>
    <row r="5873" spans="4:4" x14ac:dyDescent="0.25">
      <c r="D5873" s="102"/>
    </row>
    <row r="5874" spans="4:4" x14ac:dyDescent="0.25">
      <c r="D5874" s="102"/>
    </row>
    <row r="5875" spans="4:4" x14ac:dyDescent="0.25">
      <c r="D5875" s="102"/>
    </row>
    <row r="5876" spans="4:4" x14ac:dyDescent="0.25">
      <c r="D5876" s="102"/>
    </row>
    <row r="5877" spans="4:4" x14ac:dyDescent="0.25">
      <c r="D5877" s="102"/>
    </row>
    <row r="5878" spans="4:4" x14ac:dyDescent="0.25">
      <c r="D5878" s="102"/>
    </row>
    <row r="5879" spans="4:4" x14ac:dyDescent="0.25">
      <c r="D5879" s="102"/>
    </row>
    <row r="5880" spans="4:4" x14ac:dyDescent="0.25">
      <c r="D5880" s="102"/>
    </row>
    <row r="5881" spans="4:4" x14ac:dyDescent="0.25">
      <c r="D5881" s="102"/>
    </row>
    <row r="5882" spans="4:4" x14ac:dyDescent="0.25">
      <c r="D5882" s="102"/>
    </row>
    <row r="5883" spans="4:4" x14ac:dyDescent="0.25">
      <c r="D5883" s="102"/>
    </row>
    <row r="5884" spans="4:4" x14ac:dyDescent="0.25">
      <c r="D5884" s="102"/>
    </row>
    <row r="5885" spans="4:4" x14ac:dyDescent="0.25">
      <c r="D5885" s="102"/>
    </row>
    <row r="5886" spans="4:4" x14ac:dyDescent="0.25">
      <c r="D5886" s="102"/>
    </row>
    <row r="5887" spans="4:4" x14ac:dyDescent="0.25">
      <c r="D5887" s="102"/>
    </row>
    <row r="5888" spans="4:4" x14ac:dyDescent="0.25">
      <c r="D5888" s="102"/>
    </row>
    <row r="5889" spans="4:4" x14ac:dyDescent="0.25">
      <c r="D5889" s="102"/>
    </row>
    <row r="5890" spans="4:4" x14ac:dyDescent="0.25">
      <c r="D5890" s="102"/>
    </row>
    <row r="5891" spans="4:4" x14ac:dyDescent="0.25">
      <c r="D5891" s="102"/>
    </row>
    <row r="5892" spans="4:4" x14ac:dyDescent="0.25">
      <c r="D5892" s="102"/>
    </row>
    <row r="5893" spans="4:4" x14ac:dyDescent="0.25">
      <c r="D5893" s="102"/>
    </row>
    <row r="5894" spans="4:4" x14ac:dyDescent="0.25">
      <c r="D5894" s="102"/>
    </row>
    <row r="5895" spans="4:4" x14ac:dyDescent="0.25">
      <c r="D5895" s="102"/>
    </row>
    <row r="5896" spans="4:4" x14ac:dyDescent="0.25">
      <c r="D5896" s="102"/>
    </row>
    <row r="5897" spans="4:4" x14ac:dyDescent="0.25">
      <c r="D5897" s="102"/>
    </row>
    <row r="5898" spans="4:4" x14ac:dyDescent="0.25">
      <c r="D5898" s="102"/>
    </row>
    <row r="5899" spans="4:4" x14ac:dyDescent="0.25">
      <c r="D5899" s="102"/>
    </row>
    <row r="5900" spans="4:4" x14ac:dyDescent="0.25">
      <c r="D5900" s="102"/>
    </row>
    <row r="5901" spans="4:4" x14ac:dyDescent="0.25">
      <c r="D5901" s="102"/>
    </row>
    <row r="5902" spans="4:4" x14ac:dyDescent="0.25">
      <c r="D5902" s="102"/>
    </row>
    <row r="5903" spans="4:4" x14ac:dyDescent="0.25">
      <c r="D5903" s="102"/>
    </row>
    <row r="5904" spans="4:4" x14ac:dyDescent="0.25">
      <c r="D5904" s="102"/>
    </row>
    <row r="5905" spans="4:4" x14ac:dyDescent="0.25">
      <c r="D5905" s="102"/>
    </row>
    <row r="5906" spans="4:4" x14ac:dyDescent="0.25">
      <c r="D5906" s="102"/>
    </row>
    <row r="5907" spans="4:4" x14ac:dyDescent="0.25">
      <c r="D5907" s="102"/>
    </row>
    <row r="5908" spans="4:4" x14ac:dyDescent="0.25">
      <c r="D5908" s="102"/>
    </row>
    <row r="5909" spans="4:4" x14ac:dyDescent="0.25">
      <c r="D5909" s="102"/>
    </row>
    <row r="5910" spans="4:4" x14ac:dyDescent="0.25">
      <c r="D5910" s="102"/>
    </row>
    <row r="5911" spans="4:4" x14ac:dyDescent="0.25">
      <c r="D5911" s="102"/>
    </row>
    <row r="5912" spans="4:4" x14ac:dyDescent="0.25">
      <c r="D5912" s="102"/>
    </row>
    <row r="5913" spans="4:4" x14ac:dyDescent="0.25">
      <c r="D5913" s="102"/>
    </row>
    <row r="5914" spans="4:4" x14ac:dyDescent="0.25">
      <c r="D5914" s="102"/>
    </row>
    <row r="5915" spans="4:4" x14ac:dyDescent="0.25">
      <c r="D5915" s="102"/>
    </row>
    <row r="5916" spans="4:4" x14ac:dyDescent="0.25">
      <c r="D5916" s="102"/>
    </row>
    <row r="5917" spans="4:4" x14ac:dyDescent="0.25">
      <c r="D5917" s="102"/>
    </row>
    <row r="5918" spans="4:4" x14ac:dyDescent="0.25">
      <c r="D5918" s="102"/>
    </row>
    <row r="5919" spans="4:4" x14ac:dyDescent="0.25">
      <c r="D5919" s="102"/>
    </row>
    <row r="5920" spans="4:4" x14ac:dyDescent="0.25">
      <c r="D5920" s="102"/>
    </row>
    <row r="5921" spans="4:4" x14ac:dyDescent="0.25">
      <c r="D5921" s="102"/>
    </row>
    <row r="5922" spans="4:4" x14ac:dyDescent="0.25">
      <c r="D5922" s="102"/>
    </row>
    <row r="5923" spans="4:4" x14ac:dyDescent="0.25">
      <c r="D5923" s="102"/>
    </row>
    <row r="5924" spans="4:4" x14ac:dyDescent="0.25">
      <c r="D5924" s="102"/>
    </row>
    <row r="5925" spans="4:4" x14ac:dyDescent="0.25">
      <c r="D5925" s="102"/>
    </row>
    <row r="5926" spans="4:4" x14ac:dyDescent="0.25">
      <c r="D5926" s="102"/>
    </row>
    <row r="5927" spans="4:4" x14ac:dyDescent="0.25">
      <c r="D5927" s="102"/>
    </row>
    <row r="5928" spans="4:4" x14ac:dyDescent="0.25">
      <c r="D5928" s="102"/>
    </row>
    <row r="5929" spans="4:4" x14ac:dyDescent="0.25">
      <c r="D5929" s="102"/>
    </row>
    <row r="5930" spans="4:4" x14ac:dyDescent="0.25">
      <c r="D5930" s="102"/>
    </row>
    <row r="5931" spans="4:4" x14ac:dyDescent="0.25">
      <c r="D5931" s="102"/>
    </row>
    <row r="5932" spans="4:4" x14ac:dyDescent="0.25">
      <c r="D5932" s="102"/>
    </row>
    <row r="5933" spans="4:4" x14ac:dyDescent="0.25">
      <c r="D5933" s="102"/>
    </row>
    <row r="5934" spans="4:4" x14ac:dyDescent="0.25">
      <c r="D5934" s="102"/>
    </row>
    <row r="5935" spans="4:4" x14ac:dyDescent="0.25">
      <c r="D5935" s="102"/>
    </row>
    <row r="5936" spans="4:4" x14ac:dyDescent="0.25">
      <c r="D5936" s="102"/>
    </row>
    <row r="5937" spans="4:4" x14ac:dyDescent="0.25">
      <c r="D5937" s="102"/>
    </row>
    <row r="5938" spans="4:4" x14ac:dyDescent="0.25">
      <c r="D5938" s="102"/>
    </row>
    <row r="5939" spans="4:4" x14ac:dyDescent="0.25">
      <c r="D5939" s="102"/>
    </row>
    <row r="5940" spans="4:4" x14ac:dyDescent="0.25">
      <c r="D5940" s="102"/>
    </row>
    <row r="5941" spans="4:4" x14ac:dyDescent="0.25">
      <c r="D5941" s="102"/>
    </row>
    <row r="5942" spans="4:4" x14ac:dyDescent="0.25">
      <c r="D5942" s="102"/>
    </row>
    <row r="5943" spans="4:4" x14ac:dyDescent="0.25">
      <c r="D5943" s="102"/>
    </row>
    <row r="5944" spans="4:4" x14ac:dyDescent="0.25">
      <c r="D5944" s="102"/>
    </row>
    <row r="5945" spans="4:4" x14ac:dyDescent="0.25">
      <c r="D5945" s="102"/>
    </row>
    <row r="5946" spans="4:4" x14ac:dyDescent="0.25">
      <c r="D5946" s="102"/>
    </row>
    <row r="5947" spans="4:4" x14ac:dyDescent="0.25">
      <c r="D5947" s="102"/>
    </row>
    <row r="5948" spans="4:4" x14ac:dyDescent="0.25">
      <c r="D5948" s="102"/>
    </row>
    <row r="5949" spans="4:4" x14ac:dyDescent="0.25">
      <c r="D5949" s="102"/>
    </row>
    <row r="5950" spans="4:4" x14ac:dyDescent="0.25">
      <c r="D5950" s="102"/>
    </row>
    <row r="5951" spans="4:4" x14ac:dyDescent="0.25">
      <c r="D5951" s="102"/>
    </row>
    <row r="5952" spans="4:4" x14ac:dyDescent="0.25">
      <c r="D5952" s="102"/>
    </row>
    <row r="5953" spans="4:4" x14ac:dyDescent="0.25">
      <c r="D5953" s="102"/>
    </row>
    <row r="5954" spans="4:4" x14ac:dyDescent="0.25">
      <c r="D5954" s="102"/>
    </row>
    <row r="5955" spans="4:4" x14ac:dyDescent="0.25">
      <c r="D5955" s="102"/>
    </row>
    <row r="5956" spans="4:4" x14ac:dyDescent="0.25">
      <c r="D5956" s="102"/>
    </row>
    <row r="5957" spans="4:4" x14ac:dyDescent="0.25">
      <c r="D5957" s="102"/>
    </row>
    <row r="5958" spans="4:4" x14ac:dyDescent="0.25">
      <c r="D5958" s="102"/>
    </row>
    <row r="5959" spans="4:4" x14ac:dyDescent="0.25">
      <c r="D5959" s="102"/>
    </row>
    <row r="5960" spans="4:4" x14ac:dyDescent="0.25">
      <c r="D5960" s="102"/>
    </row>
    <row r="5961" spans="4:4" x14ac:dyDescent="0.25">
      <c r="D5961" s="102"/>
    </row>
    <row r="5962" spans="4:4" x14ac:dyDescent="0.25">
      <c r="D5962" s="102"/>
    </row>
    <row r="5963" spans="4:4" x14ac:dyDescent="0.25">
      <c r="D5963" s="102"/>
    </row>
    <row r="5964" spans="4:4" x14ac:dyDescent="0.25">
      <c r="D5964" s="102"/>
    </row>
    <row r="5965" spans="4:4" x14ac:dyDescent="0.25">
      <c r="D5965" s="102"/>
    </row>
    <row r="5966" spans="4:4" x14ac:dyDescent="0.25">
      <c r="D5966" s="102"/>
    </row>
    <row r="5967" spans="4:4" x14ac:dyDescent="0.25">
      <c r="D5967" s="102"/>
    </row>
    <row r="5968" spans="4:4" x14ac:dyDescent="0.25">
      <c r="D5968" s="102"/>
    </row>
    <row r="5969" spans="4:4" x14ac:dyDescent="0.25">
      <c r="D5969" s="102"/>
    </row>
    <row r="5970" spans="4:4" x14ac:dyDescent="0.25">
      <c r="D5970" s="102"/>
    </row>
    <row r="5971" spans="4:4" x14ac:dyDescent="0.25">
      <c r="D5971" s="102"/>
    </row>
    <row r="5972" spans="4:4" x14ac:dyDescent="0.25">
      <c r="D5972" s="102"/>
    </row>
    <row r="5973" spans="4:4" x14ac:dyDescent="0.25">
      <c r="D5973" s="102"/>
    </row>
    <row r="5974" spans="4:4" x14ac:dyDescent="0.25">
      <c r="D5974" s="102"/>
    </row>
    <row r="5975" spans="4:4" x14ac:dyDescent="0.25">
      <c r="D5975" s="102"/>
    </row>
    <row r="5976" spans="4:4" x14ac:dyDescent="0.25">
      <c r="D5976" s="102"/>
    </row>
    <row r="5977" spans="4:4" x14ac:dyDescent="0.25">
      <c r="D5977" s="102"/>
    </row>
    <row r="5978" spans="4:4" x14ac:dyDescent="0.25">
      <c r="D5978" s="102"/>
    </row>
    <row r="5979" spans="4:4" x14ac:dyDescent="0.25">
      <c r="D5979" s="102"/>
    </row>
    <row r="5980" spans="4:4" x14ac:dyDescent="0.25">
      <c r="D5980" s="102"/>
    </row>
    <row r="5981" spans="4:4" x14ac:dyDescent="0.25">
      <c r="D5981" s="102"/>
    </row>
    <row r="5982" spans="4:4" x14ac:dyDescent="0.25">
      <c r="D5982" s="102"/>
    </row>
    <row r="5983" spans="4:4" x14ac:dyDescent="0.25">
      <c r="D5983" s="102"/>
    </row>
    <row r="5984" spans="4:4" x14ac:dyDescent="0.25">
      <c r="D5984" s="102"/>
    </row>
    <row r="5985" spans="4:4" x14ac:dyDescent="0.25">
      <c r="D5985" s="102"/>
    </row>
    <row r="5986" spans="4:4" x14ac:dyDescent="0.25">
      <c r="D5986" s="102"/>
    </row>
    <row r="5987" spans="4:4" x14ac:dyDescent="0.25">
      <c r="D5987" s="102"/>
    </row>
    <row r="5988" spans="4:4" x14ac:dyDescent="0.25">
      <c r="D5988" s="102"/>
    </row>
    <row r="5989" spans="4:4" x14ac:dyDescent="0.25">
      <c r="D5989" s="102"/>
    </row>
    <row r="5990" spans="4:4" x14ac:dyDescent="0.25">
      <c r="D5990" s="102"/>
    </row>
    <row r="5991" spans="4:4" x14ac:dyDescent="0.25">
      <c r="D5991" s="102"/>
    </row>
    <row r="5992" spans="4:4" x14ac:dyDescent="0.25">
      <c r="D5992" s="102"/>
    </row>
    <row r="5993" spans="4:4" x14ac:dyDescent="0.25">
      <c r="D5993" s="102"/>
    </row>
    <row r="5994" spans="4:4" x14ac:dyDescent="0.25">
      <c r="D5994" s="102"/>
    </row>
    <row r="5995" spans="4:4" x14ac:dyDescent="0.25">
      <c r="D5995" s="102"/>
    </row>
    <row r="5996" spans="4:4" x14ac:dyDescent="0.25">
      <c r="D5996" s="102"/>
    </row>
    <row r="5997" spans="4:4" x14ac:dyDescent="0.25">
      <c r="D5997" s="102"/>
    </row>
    <row r="5998" spans="4:4" x14ac:dyDescent="0.25">
      <c r="D5998" s="102"/>
    </row>
    <row r="5999" spans="4:4" x14ac:dyDescent="0.25">
      <c r="D5999" s="102"/>
    </row>
    <row r="6000" spans="4:4" x14ac:dyDescent="0.25">
      <c r="D6000" s="102"/>
    </row>
    <row r="6001" spans="4:4" x14ac:dyDescent="0.25">
      <c r="D6001" s="102"/>
    </row>
    <row r="6002" spans="4:4" x14ac:dyDescent="0.25">
      <c r="D6002" s="102"/>
    </row>
    <row r="6003" spans="4:4" x14ac:dyDescent="0.25">
      <c r="D6003" s="102"/>
    </row>
    <row r="6004" spans="4:4" x14ac:dyDescent="0.25">
      <c r="D6004" s="102"/>
    </row>
    <row r="6005" spans="4:4" x14ac:dyDescent="0.25">
      <c r="D6005" s="102"/>
    </row>
    <row r="6006" spans="4:4" x14ac:dyDescent="0.25">
      <c r="D6006" s="102"/>
    </row>
    <row r="6007" spans="4:4" x14ac:dyDescent="0.25">
      <c r="D6007" s="102"/>
    </row>
    <row r="6008" spans="4:4" x14ac:dyDescent="0.25">
      <c r="D6008" s="102"/>
    </row>
    <row r="6009" spans="4:4" x14ac:dyDescent="0.25">
      <c r="D6009" s="102"/>
    </row>
    <row r="6010" spans="4:4" x14ac:dyDescent="0.25">
      <c r="D6010" s="102"/>
    </row>
    <row r="6011" spans="4:4" x14ac:dyDescent="0.25">
      <c r="D6011" s="102"/>
    </row>
    <row r="6012" spans="4:4" x14ac:dyDescent="0.25">
      <c r="D6012" s="102"/>
    </row>
    <row r="6013" spans="4:4" x14ac:dyDescent="0.25">
      <c r="D6013" s="102"/>
    </row>
    <row r="6014" spans="4:4" x14ac:dyDescent="0.25">
      <c r="D6014" s="102"/>
    </row>
    <row r="6015" spans="4:4" x14ac:dyDescent="0.25">
      <c r="D6015" s="102"/>
    </row>
    <row r="6016" spans="4:4" x14ac:dyDescent="0.25">
      <c r="D6016" s="102"/>
    </row>
    <row r="6017" spans="4:4" x14ac:dyDescent="0.25">
      <c r="D6017" s="102"/>
    </row>
    <row r="6018" spans="4:4" x14ac:dyDescent="0.25">
      <c r="D6018" s="102"/>
    </row>
    <row r="6019" spans="4:4" x14ac:dyDescent="0.25">
      <c r="D6019" s="102"/>
    </row>
    <row r="6020" spans="4:4" x14ac:dyDescent="0.25">
      <c r="D6020" s="102"/>
    </row>
    <row r="6021" spans="4:4" x14ac:dyDescent="0.25">
      <c r="D6021" s="102"/>
    </row>
    <row r="6022" spans="4:4" x14ac:dyDescent="0.25">
      <c r="D6022" s="102"/>
    </row>
    <row r="6023" spans="4:4" x14ac:dyDescent="0.25">
      <c r="D6023" s="102"/>
    </row>
    <row r="6024" spans="4:4" x14ac:dyDescent="0.25">
      <c r="D6024" s="102"/>
    </row>
    <row r="6025" spans="4:4" x14ac:dyDescent="0.25">
      <c r="D6025" s="102"/>
    </row>
    <row r="6026" spans="4:4" x14ac:dyDescent="0.25">
      <c r="D6026" s="102"/>
    </row>
    <row r="6027" spans="4:4" x14ac:dyDescent="0.25">
      <c r="D6027" s="102"/>
    </row>
    <row r="6028" spans="4:4" x14ac:dyDescent="0.25">
      <c r="D6028" s="102"/>
    </row>
    <row r="6029" spans="4:4" x14ac:dyDescent="0.25">
      <c r="D6029" s="102"/>
    </row>
    <row r="6030" spans="4:4" x14ac:dyDescent="0.25">
      <c r="D6030" s="102"/>
    </row>
    <row r="6031" spans="4:4" x14ac:dyDescent="0.25">
      <c r="D6031" s="102"/>
    </row>
    <row r="6032" spans="4:4" x14ac:dyDescent="0.25">
      <c r="D6032" s="102"/>
    </row>
    <row r="6033" spans="4:4" x14ac:dyDescent="0.25">
      <c r="D6033" s="102"/>
    </row>
    <row r="6034" spans="4:4" x14ac:dyDescent="0.25">
      <c r="D6034" s="102"/>
    </row>
    <row r="6035" spans="4:4" x14ac:dyDescent="0.25">
      <c r="D6035" s="102"/>
    </row>
    <row r="6036" spans="4:4" x14ac:dyDescent="0.25">
      <c r="D6036" s="102"/>
    </row>
    <row r="6037" spans="4:4" x14ac:dyDescent="0.25">
      <c r="D6037" s="102"/>
    </row>
    <row r="6038" spans="4:4" x14ac:dyDescent="0.25">
      <c r="D6038" s="102"/>
    </row>
    <row r="6039" spans="4:4" x14ac:dyDescent="0.25">
      <c r="D6039" s="102"/>
    </row>
    <row r="6040" spans="4:4" x14ac:dyDescent="0.25">
      <c r="D6040" s="102"/>
    </row>
    <row r="6041" spans="4:4" x14ac:dyDescent="0.25">
      <c r="D6041" s="102"/>
    </row>
    <row r="6042" spans="4:4" x14ac:dyDescent="0.25">
      <c r="D6042" s="102"/>
    </row>
    <row r="6043" spans="4:4" x14ac:dyDescent="0.25">
      <c r="D6043" s="102"/>
    </row>
    <row r="6044" spans="4:4" x14ac:dyDescent="0.25">
      <c r="D6044" s="102"/>
    </row>
    <row r="6045" spans="4:4" x14ac:dyDescent="0.25">
      <c r="D6045" s="102"/>
    </row>
    <row r="6046" spans="4:4" x14ac:dyDescent="0.25">
      <c r="D6046" s="102"/>
    </row>
    <row r="6047" spans="4:4" x14ac:dyDescent="0.25">
      <c r="D6047" s="102"/>
    </row>
    <row r="6048" spans="4:4" x14ac:dyDescent="0.25">
      <c r="D6048" s="102"/>
    </row>
    <row r="6049" spans="4:4" x14ac:dyDescent="0.25">
      <c r="D6049" s="102"/>
    </row>
    <row r="6050" spans="4:4" x14ac:dyDescent="0.25">
      <c r="D6050" s="102"/>
    </row>
    <row r="6051" spans="4:4" x14ac:dyDescent="0.25">
      <c r="D6051" s="102"/>
    </row>
    <row r="6052" spans="4:4" x14ac:dyDescent="0.25">
      <c r="D6052" s="102"/>
    </row>
    <row r="6053" spans="4:4" x14ac:dyDescent="0.25">
      <c r="D6053" s="102"/>
    </row>
    <row r="6054" spans="4:4" x14ac:dyDescent="0.25">
      <c r="D6054" s="102"/>
    </row>
    <row r="6055" spans="4:4" x14ac:dyDescent="0.25">
      <c r="D6055" s="102"/>
    </row>
    <row r="6056" spans="4:4" x14ac:dyDescent="0.25">
      <c r="D6056" s="102"/>
    </row>
    <row r="6057" spans="4:4" x14ac:dyDescent="0.25">
      <c r="D6057" s="102"/>
    </row>
    <row r="6058" spans="4:4" x14ac:dyDescent="0.25">
      <c r="D6058" s="102"/>
    </row>
    <row r="6059" spans="4:4" x14ac:dyDescent="0.25">
      <c r="D6059" s="102"/>
    </row>
    <row r="6060" spans="4:4" x14ac:dyDescent="0.25">
      <c r="D6060" s="102"/>
    </row>
    <row r="6061" spans="4:4" x14ac:dyDescent="0.25">
      <c r="D6061" s="102"/>
    </row>
    <row r="6062" spans="4:4" x14ac:dyDescent="0.25">
      <c r="D6062" s="102"/>
    </row>
    <row r="6063" spans="4:4" x14ac:dyDescent="0.25">
      <c r="D6063" s="102"/>
    </row>
    <row r="6064" spans="4:4" x14ac:dyDescent="0.25">
      <c r="D6064" s="102"/>
    </row>
    <row r="6065" spans="4:4" x14ac:dyDescent="0.25">
      <c r="D6065" s="102"/>
    </row>
    <row r="6066" spans="4:4" x14ac:dyDescent="0.25">
      <c r="D6066" s="102"/>
    </row>
    <row r="6067" spans="4:4" x14ac:dyDescent="0.25">
      <c r="D6067" s="102"/>
    </row>
    <row r="6068" spans="4:4" x14ac:dyDescent="0.25">
      <c r="D6068" s="102"/>
    </row>
    <row r="6069" spans="4:4" x14ac:dyDescent="0.25">
      <c r="D6069" s="102"/>
    </row>
    <row r="6070" spans="4:4" x14ac:dyDescent="0.25">
      <c r="D6070" s="102"/>
    </row>
    <row r="6071" spans="4:4" x14ac:dyDescent="0.25">
      <c r="D6071" s="102"/>
    </row>
    <row r="6072" spans="4:4" x14ac:dyDescent="0.25">
      <c r="D6072" s="102"/>
    </row>
    <row r="6073" spans="4:4" x14ac:dyDescent="0.25">
      <c r="D6073" s="102"/>
    </row>
    <row r="6074" spans="4:4" x14ac:dyDescent="0.25">
      <c r="D6074" s="102"/>
    </row>
    <row r="6075" spans="4:4" x14ac:dyDescent="0.25">
      <c r="D6075" s="102"/>
    </row>
    <row r="6076" spans="4:4" x14ac:dyDescent="0.25">
      <c r="D6076" s="102"/>
    </row>
    <row r="6077" spans="4:4" x14ac:dyDescent="0.25">
      <c r="D6077" s="102"/>
    </row>
    <row r="6078" spans="4:4" x14ac:dyDescent="0.25">
      <c r="D6078" s="102"/>
    </row>
    <row r="6079" spans="4:4" x14ac:dyDescent="0.25">
      <c r="D6079" s="102"/>
    </row>
    <row r="6080" spans="4:4" x14ac:dyDescent="0.25">
      <c r="D6080" s="102"/>
    </row>
    <row r="6081" spans="4:4" x14ac:dyDescent="0.25">
      <c r="D6081" s="102"/>
    </row>
    <row r="6082" spans="4:4" x14ac:dyDescent="0.25">
      <c r="D6082" s="102"/>
    </row>
    <row r="6083" spans="4:4" x14ac:dyDescent="0.25">
      <c r="D6083" s="102"/>
    </row>
    <row r="6084" spans="4:4" x14ac:dyDescent="0.25">
      <c r="D6084" s="102"/>
    </row>
    <row r="6085" spans="4:4" x14ac:dyDescent="0.25">
      <c r="D6085" s="102"/>
    </row>
    <row r="6086" spans="4:4" x14ac:dyDescent="0.25">
      <c r="D6086" s="102"/>
    </row>
    <row r="6087" spans="4:4" x14ac:dyDescent="0.25">
      <c r="D6087" s="102"/>
    </row>
    <row r="6088" spans="4:4" x14ac:dyDescent="0.25">
      <c r="D6088" s="102"/>
    </row>
    <row r="6089" spans="4:4" x14ac:dyDescent="0.25">
      <c r="D6089" s="102"/>
    </row>
    <row r="6090" spans="4:4" x14ac:dyDescent="0.25">
      <c r="D6090" s="102"/>
    </row>
    <row r="6091" spans="4:4" x14ac:dyDescent="0.25">
      <c r="D6091" s="102"/>
    </row>
    <row r="6092" spans="4:4" x14ac:dyDescent="0.25">
      <c r="D6092" s="102"/>
    </row>
    <row r="6093" spans="4:4" x14ac:dyDescent="0.25">
      <c r="D6093" s="102"/>
    </row>
    <row r="6094" spans="4:4" x14ac:dyDescent="0.25">
      <c r="D6094" s="102"/>
    </row>
    <row r="6095" spans="4:4" x14ac:dyDescent="0.25">
      <c r="D6095" s="102"/>
    </row>
    <row r="6096" spans="4:4" x14ac:dyDescent="0.25">
      <c r="D6096" s="102"/>
    </row>
    <row r="6097" spans="4:4" x14ac:dyDescent="0.25">
      <c r="D6097" s="102"/>
    </row>
    <row r="6098" spans="4:4" x14ac:dyDescent="0.25">
      <c r="D6098" s="102"/>
    </row>
    <row r="6099" spans="4:4" x14ac:dyDescent="0.25">
      <c r="D6099" s="102"/>
    </row>
    <row r="6100" spans="4:4" x14ac:dyDescent="0.25">
      <c r="D6100" s="102"/>
    </row>
    <row r="6101" spans="4:4" x14ac:dyDescent="0.25">
      <c r="D6101" s="102"/>
    </row>
    <row r="6102" spans="4:4" x14ac:dyDescent="0.25">
      <c r="D6102" s="102"/>
    </row>
    <row r="6103" spans="4:4" x14ac:dyDescent="0.25">
      <c r="D6103" s="102"/>
    </row>
    <row r="6104" spans="4:4" x14ac:dyDescent="0.25">
      <c r="D6104" s="102"/>
    </row>
    <row r="6105" spans="4:4" x14ac:dyDescent="0.25">
      <c r="D6105" s="102"/>
    </row>
    <row r="6106" spans="4:4" x14ac:dyDescent="0.25">
      <c r="D6106" s="102"/>
    </row>
    <row r="6107" spans="4:4" x14ac:dyDescent="0.25">
      <c r="D6107" s="102"/>
    </row>
    <row r="6108" spans="4:4" x14ac:dyDescent="0.25">
      <c r="D6108" s="102"/>
    </row>
    <row r="6109" spans="4:4" x14ac:dyDescent="0.25">
      <c r="D6109" s="102"/>
    </row>
    <row r="6110" spans="4:4" x14ac:dyDescent="0.25">
      <c r="D6110" s="102"/>
    </row>
    <row r="6111" spans="4:4" x14ac:dyDescent="0.25">
      <c r="D6111" s="102"/>
    </row>
    <row r="6112" spans="4:4" x14ac:dyDescent="0.25">
      <c r="D6112" s="102"/>
    </row>
    <row r="6113" spans="4:4" x14ac:dyDescent="0.25">
      <c r="D6113" s="102"/>
    </row>
    <row r="6114" spans="4:4" x14ac:dyDescent="0.25">
      <c r="D6114" s="102"/>
    </row>
    <row r="6115" spans="4:4" x14ac:dyDescent="0.25">
      <c r="D6115" s="102"/>
    </row>
    <row r="6116" spans="4:4" x14ac:dyDescent="0.25">
      <c r="D6116" s="102"/>
    </row>
    <row r="6117" spans="4:4" x14ac:dyDescent="0.25">
      <c r="D6117" s="102"/>
    </row>
    <row r="6118" spans="4:4" x14ac:dyDescent="0.25">
      <c r="D6118" s="102"/>
    </row>
    <row r="6119" spans="4:4" x14ac:dyDescent="0.25">
      <c r="D6119" s="102"/>
    </row>
    <row r="6120" spans="4:4" x14ac:dyDescent="0.25">
      <c r="D6120" s="102"/>
    </row>
    <row r="6121" spans="4:4" x14ac:dyDescent="0.25">
      <c r="D6121" s="102"/>
    </row>
    <row r="6122" spans="4:4" x14ac:dyDescent="0.25">
      <c r="D6122" s="102"/>
    </row>
    <row r="6123" spans="4:4" x14ac:dyDescent="0.25">
      <c r="D6123" s="102"/>
    </row>
    <row r="6124" spans="4:4" x14ac:dyDescent="0.25">
      <c r="D6124" s="102"/>
    </row>
    <row r="6125" spans="4:4" x14ac:dyDescent="0.25">
      <c r="D6125" s="102"/>
    </row>
    <row r="6126" spans="4:4" x14ac:dyDescent="0.25">
      <c r="D6126" s="102"/>
    </row>
    <row r="6127" spans="4:4" x14ac:dyDescent="0.25">
      <c r="D6127" s="102"/>
    </row>
    <row r="6128" spans="4:4" x14ac:dyDescent="0.25">
      <c r="D6128" s="102"/>
    </row>
    <row r="6129" spans="4:4" x14ac:dyDescent="0.25">
      <c r="D6129" s="102"/>
    </row>
    <row r="6130" spans="4:4" x14ac:dyDescent="0.25">
      <c r="D6130" s="102"/>
    </row>
    <row r="6131" spans="4:4" x14ac:dyDescent="0.25">
      <c r="D6131" s="102"/>
    </row>
    <row r="6132" spans="4:4" x14ac:dyDescent="0.25">
      <c r="D6132" s="102"/>
    </row>
    <row r="6133" spans="4:4" x14ac:dyDescent="0.25">
      <c r="D6133" s="102"/>
    </row>
    <row r="6134" spans="4:4" x14ac:dyDescent="0.25">
      <c r="D6134" s="102"/>
    </row>
    <row r="6135" spans="4:4" x14ac:dyDescent="0.25">
      <c r="D6135" s="102"/>
    </row>
    <row r="6136" spans="4:4" x14ac:dyDescent="0.25">
      <c r="D6136" s="102"/>
    </row>
    <row r="6137" spans="4:4" x14ac:dyDescent="0.25">
      <c r="D6137" s="102"/>
    </row>
    <row r="6138" spans="4:4" x14ac:dyDescent="0.25">
      <c r="D6138" s="102"/>
    </row>
    <row r="6139" spans="4:4" x14ac:dyDescent="0.25">
      <c r="D6139" s="102"/>
    </row>
    <row r="6140" spans="4:4" x14ac:dyDescent="0.25">
      <c r="D6140" s="102"/>
    </row>
    <row r="6141" spans="4:4" x14ac:dyDescent="0.25">
      <c r="D6141" s="102"/>
    </row>
    <row r="6142" spans="4:4" x14ac:dyDescent="0.25">
      <c r="D6142" s="102"/>
    </row>
    <row r="6143" spans="4:4" x14ac:dyDescent="0.25">
      <c r="D6143" s="102"/>
    </row>
    <row r="6144" spans="4:4" x14ac:dyDescent="0.25">
      <c r="D6144" s="102"/>
    </row>
    <row r="6145" spans="4:4" x14ac:dyDescent="0.25">
      <c r="D6145" s="102"/>
    </row>
    <row r="6146" spans="4:4" x14ac:dyDescent="0.25">
      <c r="D6146" s="102"/>
    </row>
    <row r="6147" spans="4:4" x14ac:dyDescent="0.25">
      <c r="D6147" s="102"/>
    </row>
    <row r="6148" spans="4:4" x14ac:dyDescent="0.25">
      <c r="D6148" s="102"/>
    </row>
    <row r="6149" spans="4:4" x14ac:dyDescent="0.25">
      <c r="D6149" s="102"/>
    </row>
    <row r="6150" spans="4:4" x14ac:dyDescent="0.25">
      <c r="D6150" s="102"/>
    </row>
    <row r="6151" spans="4:4" x14ac:dyDescent="0.25">
      <c r="D6151" s="102"/>
    </row>
    <row r="6152" spans="4:4" x14ac:dyDescent="0.25">
      <c r="D6152" s="102"/>
    </row>
    <row r="6153" spans="4:4" x14ac:dyDescent="0.25">
      <c r="D6153" s="102"/>
    </row>
    <row r="6154" spans="4:4" x14ac:dyDescent="0.25">
      <c r="D6154" s="102"/>
    </row>
    <row r="6155" spans="4:4" x14ac:dyDescent="0.25">
      <c r="D6155" s="102"/>
    </row>
    <row r="6156" spans="4:4" x14ac:dyDescent="0.25">
      <c r="D6156" s="102"/>
    </row>
    <row r="6157" spans="4:4" x14ac:dyDescent="0.25">
      <c r="D6157" s="102"/>
    </row>
    <row r="6158" spans="4:4" x14ac:dyDescent="0.25">
      <c r="D6158" s="102"/>
    </row>
    <row r="6159" spans="4:4" x14ac:dyDescent="0.25">
      <c r="D6159" s="102"/>
    </row>
    <row r="6160" spans="4:4" x14ac:dyDescent="0.25">
      <c r="D6160" s="102"/>
    </row>
    <row r="6161" spans="4:4" x14ac:dyDescent="0.25">
      <c r="D6161" s="102"/>
    </row>
    <row r="6162" spans="4:4" x14ac:dyDescent="0.25">
      <c r="D6162" s="102"/>
    </row>
    <row r="6163" spans="4:4" x14ac:dyDescent="0.25">
      <c r="D6163" s="102"/>
    </row>
    <row r="6164" spans="4:4" x14ac:dyDescent="0.25">
      <c r="D6164" s="102"/>
    </row>
    <row r="6165" spans="4:4" x14ac:dyDescent="0.25">
      <c r="D6165" s="102"/>
    </row>
    <row r="6166" spans="4:4" x14ac:dyDescent="0.25">
      <c r="D6166" s="102"/>
    </row>
    <row r="6167" spans="4:4" x14ac:dyDescent="0.25">
      <c r="D6167" s="102"/>
    </row>
    <row r="6168" spans="4:4" x14ac:dyDescent="0.25">
      <c r="D6168" s="102"/>
    </row>
    <row r="6169" spans="4:4" x14ac:dyDescent="0.25">
      <c r="D6169" s="102"/>
    </row>
    <row r="6170" spans="4:4" x14ac:dyDescent="0.25">
      <c r="D6170" s="102"/>
    </row>
    <row r="6171" spans="4:4" x14ac:dyDescent="0.25">
      <c r="D6171" s="102"/>
    </row>
    <row r="6172" spans="4:4" x14ac:dyDescent="0.25">
      <c r="D6172" s="102"/>
    </row>
    <row r="6173" spans="4:4" x14ac:dyDescent="0.25">
      <c r="D6173" s="102"/>
    </row>
    <row r="6174" spans="4:4" x14ac:dyDescent="0.25">
      <c r="D6174" s="102"/>
    </row>
    <row r="6175" spans="4:4" x14ac:dyDescent="0.25">
      <c r="D6175" s="102"/>
    </row>
    <row r="6176" spans="4:4" x14ac:dyDescent="0.25">
      <c r="D6176" s="102"/>
    </row>
    <row r="6177" spans="4:4" x14ac:dyDescent="0.25">
      <c r="D6177" s="102"/>
    </row>
    <row r="6178" spans="4:4" x14ac:dyDescent="0.25">
      <c r="D6178" s="102"/>
    </row>
    <row r="6179" spans="4:4" x14ac:dyDescent="0.25">
      <c r="D6179" s="102"/>
    </row>
    <row r="6180" spans="4:4" x14ac:dyDescent="0.25">
      <c r="D6180" s="102"/>
    </row>
    <row r="6181" spans="4:4" x14ac:dyDescent="0.25">
      <c r="D6181" s="102"/>
    </row>
    <row r="6182" spans="4:4" x14ac:dyDescent="0.25">
      <c r="D6182" s="102"/>
    </row>
    <row r="6183" spans="4:4" x14ac:dyDescent="0.25">
      <c r="D6183" s="102"/>
    </row>
    <row r="6184" spans="4:4" x14ac:dyDescent="0.25">
      <c r="D6184" s="102"/>
    </row>
    <row r="6185" spans="4:4" x14ac:dyDescent="0.25">
      <c r="D6185" s="102"/>
    </row>
    <row r="6186" spans="4:4" x14ac:dyDescent="0.25">
      <c r="D6186" s="102"/>
    </row>
    <row r="6187" spans="4:4" x14ac:dyDescent="0.25">
      <c r="D6187" s="102"/>
    </row>
    <row r="6188" spans="4:4" x14ac:dyDescent="0.25">
      <c r="D6188" s="102"/>
    </row>
    <row r="6189" spans="4:4" x14ac:dyDescent="0.25">
      <c r="D6189" s="102"/>
    </row>
    <row r="6190" spans="4:4" x14ac:dyDescent="0.25">
      <c r="D6190" s="102"/>
    </row>
    <row r="6191" spans="4:4" x14ac:dyDescent="0.25">
      <c r="D6191" s="102"/>
    </row>
    <row r="6192" spans="4:4" x14ac:dyDescent="0.25">
      <c r="D6192" s="102"/>
    </row>
    <row r="6193" spans="4:4" x14ac:dyDescent="0.25">
      <c r="D6193" s="102"/>
    </row>
    <row r="6194" spans="4:4" x14ac:dyDescent="0.25">
      <c r="D6194" s="102"/>
    </row>
    <row r="6195" spans="4:4" x14ac:dyDescent="0.25">
      <c r="D6195" s="102"/>
    </row>
    <row r="6196" spans="4:4" x14ac:dyDescent="0.25">
      <c r="D6196" s="102"/>
    </row>
    <row r="6197" spans="4:4" x14ac:dyDescent="0.25">
      <c r="D6197" s="102"/>
    </row>
    <row r="6198" spans="4:4" x14ac:dyDescent="0.25">
      <c r="D6198" s="102"/>
    </row>
    <row r="6199" spans="4:4" x14ac:dyDescent="0.25">
      <c r="D6199" s="102"/>
    </row>
    <row r="6200" spans="4:4" x14ac:dyDescent="0.25">
      <c r="D6200" s="102"/>
    </row>
    <row r="6201" spans="4:4" x14ac:dyDescent="0.25">
      <c r="D6201" s="102"/>
    </row>
    <row r="6202" spans="4:4" x14ac:dyDescent="0.25">
      <c r="D6202" s="102"/>
    </row>
    <row r="6203" spans="4:4" x14ac:dyDescent="0.25">
      <c r="D6203" s="102"/>
    </row>
    <row r="6204" spans="4:4" x14ac:dyDescent="0.25">
      <c r="D6204" s="102"/>
    </row>
    <row r="6205" spans="4:4" x14ac:dyDescent="0.25">
      <c r="D6205" s="102"/>
    </row>
    <row r="6206" spans="4:4" x14ac:dyDescent="0.25">
      <c r="D6206" s="102"/>
    </row>
    <row r="6207" spans="4:4" x14ac:dyDescent="0.25">
      <c r="D6207" s="102"/>
    </row>
    <row r="6208" spans="4:4" x14ac:dyDescent="0.25">
      <c r="D6208" s="102"/>
    </row>
    <row r="6209" spans="4:4" x14ac:dyDescent="0.25">
      <c r="D6209" s="102"/>
    </row>
    <row r="6210" spans="4:4" x14ac:dyDescent="0.25">
      <c r="D6210" s="102"/>
    </row>
    <row r="6211" spans="4:4" x14ac:dyDescent="0.25">
      <c r="D6211" s="102"/>
    </row>
    <row r="6212" spans="4:4" x14ac:dyDescent="0.25">
      <c r="D6212" s="102"/>
    </row>
    <row r="6213" spans="4:4" x14ac:dyDescent="0.25">
      <c r="D6213" s="102"/>
    </row>
    <row r="6214" spans="4:4" x14ac:dyDescent="0.25">
      <c r="D6214" s="102"/>
    </row>
    <row r="6215" spans="4:4" x14ac:dyDescent="0.25">
      <c r="D6215" s="102"/>
    </row>
    <row r="6216" spans="4:4" x14ac:dyDescent="0.25">
      <c r="D6216" s="102"/>
    </row>
    <row r="6217" spans="4:4" x14ac:dyDescent="0.25">
      <c r="D6217" s="102"/>
    </row>
    <row r="6218" spans="4:4" x14ac:dyDescent="0.25">
      <c r="D6218" s="102"/>
    </row>
    <row r="6219" spans="4:4" x14ac:dyDescent="0.25">
      <c r="D6219" s="102"/>
    </row>
    <row r="6220" spans="4:4" x14ac:dyDescent="0.25">
      <c r="D6220" s="102"/>
    </row>
    <row r="6221" spans="4:4" x14ac:dyDescent="0.25">
      <c r="D6221" s="102"/>
    </row>
    <row r="6222" spans="4:4" x14ac:dyDescent="0.25">
      <c r="D6222" s="102"/>
    </row>
    <row r="6223" spans="4:4" x14ac:dyDescent="0.25">
      <c r="D6223" s="102"/>
    </row>
    <row r="6224" spans="4:4" x14ac:dyDescent="0.25">
      <c r="D6224" s="102"/>
    </row>
    <row r="6225" spans="4:4" x14ac:dyDescent="0.25">
      <c r="D6225" s="102"/>
    </row>
    <row r="6226" spans="4:4" x14ac:dyDescent="0.25">
      <c r="D6226" s="102"/>
    </row>
    <row r="6227" spans="4:4" x14ac:dyDescent="0.25">
      <c r="D6227" s="102"/>
    </row>
    <row r="6228" spans="4:4" x14ac:dyDescent="0.25">
      <c r="D6228" s="102"/>
    </row>
    <row r="6229" spans="4:4" x14ac:dyDescent="0.25">
      <c r="D6229" s="102"/>
    </row>
    <row r="6230" spans="4:4" x14ac:dyDescent="0.25">
      <c r="D6230" s="102"/>
    </row>
    <row r="6231" spans="4:4" x14ac:dyDescent="0.25">
      <c r="D6231" s="102"/>
    </row>
    <row r="6232" spans="4:4" x14ac:dyDescent="0.25">
      <c r="D6232" s="102"/>
    </row>
    <row r="6233" spans="4:4" x14ac:dyDescent="0.25">
      <c r="D6233" s="102"/>
    </row>
    <row r="6234" spans="4:4" x14ac:dyDescent="0.25">
      <c r="D6234" s="102"/>
    </row>
    <row r="6235" spans="4:4" x14ac:dyDescent="0.25">
      <c r="D6235" s="102"/>
    </row>
    <row r="6236" spans="4:4" x14ac:dyDescent="0.25">
      <c r="D6236" s="102"/>
    </row>
    <row r="6237" spans="4:4" x14ac:dyDescent="0.25">
      <c r="D6237" s="102"/>
    </row>
    <row r="6238" spans="4:4" x14ac:dyDescent="0.25">
      <c r="D6238" s="102"/>
    </row>
    <row r="6239" spans="4:4" x14ac:dyDescent="0.25">
      <c r="D6239" s="102"/>
    </row>
    <row r="6240" spans="4:4" x14ac:dyDescent="0.25">
      <c r="D6240" s="102"/>
    </row>
    <row r="6241" spans="4:4" x14ac:dyDescent="0.25">
      <c r="D6241" s="102"/>
    </row>
    <row r="6242" spans="4:4" x14ac:dyDescent="0.25">
      <c r="D6242" s="102"/>
    </row>
    <row r="6243" spans="4:4" x14ac:dyDescent="0.25">
      <c r="D6243" s="102"/>
    </row>
    <row r="6244" spans="4:4" x14ac:dyDescent="0.25">
      <c r="D6244" s="102"/>
    </row>
    <row r="6245" spans="4:4" x14ac:dyDescent="0.25">
      <c r="D6245" s="102"/>
    </row>
    <row r="6246" spans="4:4" x14ac:dyDescent="0.25">
      <c r="D6246" s="102"/>
    </row>
    <row r="6247" spans="4:4" x14ac:dyDescent="0.25">
      <c r="D6247" s="102"/>
    </row>
    <row r="6248" spans="4:4" x14ac:dyDescent="0.25">
      <c r="D6248" s="102"/>
    </row>
    <row r="6249" spans="4:4" x14ac:dyDescent="0.25">
      <c r="D6249" s="102"/>
    </row>
    <row r="6250" spans="4:4" x14ac:dyDescent="0.25">
      <c r="D6250" s="102"/>
    </row>
    <row r="6251" spans="4:4" x14ac:dyDescent="0.25">
      <c r="D6251" s="102"/>
    </row>
    <row r="6252" spans="4:4" x14ac:dyDescent="0.25">
      <c r="D6252" s="102"/>
    </row>
    <row r="6253" spans="4:4" x14ac:dyDescent="0.25">
      <c r="D6253" s="102"/>
    </row>
    <row r="6254" spans="4:4" x14ac:dyDescent="0.25">
      <c r="D6254" s="102"/>
    </row>
    <row r="6255" spans="4:4" x14ac:dyDescent="0.25">
      <c r="D6255" s="102"/>
    </row>
    <row r="6256" spans="4:4" x14ac:dyDescent="0.25">
      <c r="D6256" s="102"/>
    </row>
    <row r="6257" spans="4:4" x14ac:dyDescent="0.25">
      <c r="D6257" s="102"/>
    </row>
    <row r="6258" spans="4:4" x14ac:dyDescent="0.25">
      <c r="D6258" s="102"/>
    </row>
    <row r="6259" spans="4:4" x14ac:dyDescent="0.25">
      <c r="D6259" s="102"/>
    </row>
    <row r="6260" spans="4:4" x14ac:dyDescent="0.25">
      <c r="D6260" s="102"/>
    </row>
    <row r="6261" spans="4:4" x14ac:dyDescent="0.25">
      <c r="D6261" s="102"/>
    </row>
    <row r="6262" spans="4:4" x14ac:dyDescent="0.25">
      <c r="D6262" s="102"/>
    </row>
    <row r="6263" spans="4:4" x14ac:dyDescent="0.25">
      <c r="D6263" s="102"/>
    </row>
    <row r="6264" spans="4:4" x14ac:dyDescent="0.25">
      <c r="D6264" s="102"/>
    </row>
    <row r="6265" spans="4:4" x14ac:dyDescent="0.25">
      <c r="D6265" s="102"/>
    </row>
    <row r="6266" spans="4:4" x14ac:dyDescent="0.25">
      <c r="D6266" s="102"/>
    </row>
    <row r="6267" spans="4:4" x14ac:dyDescent="0.25">
      <c r="D6267" s="102"/>
    </row>
    <row r="6268" spans="4:4" x14ac:dyDescent="0.25">
      <c r="D6268" s="102"/>
    </row>
    <row r="6269" spans="4:4" x14ac:dyDescent="0.25">
      <c r="D6269" s="102"/>
    </row>
    <row r="6270" spans="4:4" x14ac:dyDescent="0.25">
      <c r="D6270" s="102"/>
    </row>
    <row r="6271" spans="4:4" x14ac:dyDescent="0.25">
      <c r="D6271" s="102"/>
    </row>
    <row r="6272" spans="4:4" x14ac:dyDescent="0.25">
      <c r="D6272" s="102"/>
    </row>
    <row r="6273" spans="4:4" x14ac:dyDescent="0.25">
      <c r="D6273" s="102"/>
    </row>
    <row r="6274" spans="4:4" x14ac:dyDescent="0.25">
      <c r="D6274" s="102"/>
    </row>
    <row r="6275" spans="4:4" x14ac:dyDescent="0.25">
      <c r="D6275" s="102"/>
    </row>
    <row r="6276" spans="4:4" x14ac:dyDescent="0.25">
      <c r="D6276" s="102"/>
    </row>
    <row r="6277" spans="4:4" x14ac:dyDescent="0.25">
      <c r="D6277" s="102"/>
    </row>
    <row r="6278" spans="4:4" x14ac:dyDescent="0.25">
      <c r="D6278" s="102"/>
    </row>
    <row r="6279" spans="4:4" x14ac:dyDescent="0.25">
      <c r="D6279" s="102"/>
    </row>
    <row r="6280" spans="4:4" x14ac:dyDescent="0.25">
      <c r="D6280" s="102"/>
    </row>
    <row r="6281" spans="4:4" x14ac:dyDescent="0.25">
      <c r="D6281" s="102"/>
    </row>
    <row r="6282" spans="4:4" x14ac:dyDescent="0.25">
      <c r="D6282" s="102"/>
    </row>
    <row r="6283" spans="4:4" x14ac:dyDescent="0.25">
      <c r="D6283" s="102"/>
    </row>
    <row r="6284" spans="4:4" x14ac:dyDescent="0.25">
      <c r="D6284" s="102"/>
    </row>
    <row r="6285" spans="4:4" x14ac:dyDescent="0.25">
      <c r="D6285" s="102"/>
    </row>
    <row r="6286" spans="4:4" x14ac:dyDescent="0.25">
      <c r="D6286" s="102"/>
    </row>
    <row r="6287" spans="4:4" x14ac:dyDescent="0.25">
      <c r="D6287" s="102"/>
    </row>
    <row r="6288" spans="4:4" x14ac:dyDescent="0.25">
      <c r="D6288" s="102"/>
    </row>
    <row r="6289" spans="4:4" x14ac:dyDescent="0.25">
      <c r="D6289" s="102"/>
    </row>
    <row r="6290" spans="4:4" x14ac:dyDescent="0.25">
      <c r="D6290" s="102"/>
    </row>
    <row r="6291" spans="4:4" x14ac:dyDescent="0.25">
      <c r="D6291" s="102"/>
    </row>
    <row r="6292" spans="4:4" x14ac:dyDescent="0.25">
      <c r="D6292" s="102"/>
    </row>
    <row r="6293" spans="4:4" x14ac:dyDescent="0.25">
      <c r="D6293" s="102"/>
    </row>
    <row r="6294" spans="4:4" x14ac:dyDescent="0.25">
      <c r="D6294" s="102"/>
    </row>
    <row r="6295" spans="4:4" x14ac:dyDescent="0.25">
      <c r="D6295" s="102"/>
    </row>
    <row r="6296" spans="4:4" x14ac:dyDescent="0.25">
      <c r="D6296" s="102"/>
    </row>
    <row r="6297" spans="4:4" x14ac:dyDescent="0.25">
      <c r="D6297" s="102"/>
    </row>
    <row r="6298" spans="4:4" x14ac:dyDescent="0.25">
      <c r="D6298" s="102"/>
    </row>
    <row r="6299" spans="4:4" x14ac:dyDescent="0.25">
      <c r="D6299" s="102"/>
    </row>
    <row r="6300" spans="4:4" x14ac:dyDescent="0.25">
      <c r="D6300" s="102"/>
    </row>
    <row r="6301" spans="4:4" x14ac:dyDescent="0.25">
      <c r="D6301" s="102"/>
    </row>
    <row r="6302" spans="4:4" x14ac:dyDescent="0.25">
      <c r="D6302" s="102"/>
    </row>
    <row r="6303" spans="4:4" x14ac:dyDescent="0.25">
      <c r="D6303" s="102"/>
    </row>
    <row r="6304" spans="4:4" x14ac:dyDescent="0.25">
      <c r="D6304" s="102"/>
    </row>
    <row r="6305" spans="4:4" x14ac:dyDescent="0.25">
      <c r="D6305" s="102"/>
    </row>
    <row r="6306" spans="4:4" x14ac:dyDescent="0.25">
      <c r="D6306" s="102"/>
    </row>
    <row r="6307" spans="4:4" x14ac:dyDescent="0.25">
      <c r="D6307" s="102"/>
    </row>
    <row r="6308" spans="4:4" x14ac:dyDescent="0.25">
      <c r="D6308" s="102"/>
    </row>
    <row r="6309" spans="4:4" x14ac:dyDescent="0.25">
      <c r="D6309" s="102"/>
    </row>
    <row r="6310" spans="4:4" x14ac:dyDescent="0.25">
      <c r="D6310" s="102"/>
    </row>
    <row r="6311" spans="4:4" x14ac:dyDescent="0.25">
      <c r="D6311" s="102"/>
    </row>
    <row r="6312" spans="4:4" x14ac:dyDescent="0.25">
      <c r="D6312" s="102"/>
    </row>
    <row r="6313" spans="4:4" x14ac:dyDescent="0.25">
      <c r="D6313" s="102"/>
    </row>
    <row r="6314" spans="4:4" x14ac:dyDescent="0.25">
      <c r="D6314" s="102"/>
    </row>
    <row r="6315" spans="4:4" x14ac:dyDescent="0.25">
      <c r="D6315" s="102"/>
    </row>
    <row r="6316" spans="4:4" x14ac:dyDescent="0.25">
      <c r="D6316" s="102"/>
    </row>
    <row r="6317" spans="4:4" x14ac:dyDescent="0.25">
      <c r="D6317" s="102"/>
    </row>
    <row r="6318" spans="4:4" x14ac:dyDescent="0.25">
      <c r="D6318" s="102"/>
    </row>
    <row r="6319" spans="4:4" x14ac:dyDescent="0.25">
      <c r="D6319" s="102"/>
    </row>
    <row r="6320" spans="4:4" x14ac:dyDescent="0.25">
      <c r="D6320" s="102"/>
    </row>
    <row r="6321" spans="4:4" x14ac:dyDescent="0.25">
      <c r="D6321" s="102"/>
    </row>
    <row r="6322" spans="4:4" x14ac:dyDescent="0.25">
      <c r="D6322" s="102"/>
    </row>
    <row r="6323" spans="4:4" x14ac:dyDescent="0.25">
      <c r="D6323" s="102"/>
    </row>
    <row r="6324" spans="4:4" x14ac:dyDescent="0.25">
      <c r="D6324" s="102"/>
    </row>
    <row r="6325" spans="4:4" x14ac:dyDescent="0.25">
      <c r="D6325" s="102"/>
    </row>
    <row r="6326" spans="4:4" x14ac:dyDescent="0.25">
      <c r="D6326" s="102"/>
    </row>
    <row r="6327" spans="4:4" x14ac:dyDescent="0.25">
      <c r="D6327" s="102"/>
    </row>
    <row r="6328" spans="4:4" x14ac:dyDescent="0.25">
      <c r="D6328" s="102"/>
    </row>
    <row r="6329" spans="4:4" x14ac:dyDescent="0.25">
      <c r="D6329" s="102"/>
    </row>
    <row r="6330" spans="4:4" x14ac:dyDescent="0.25">
      <c r="D6330" s="102"/>
    </row>
    <row r="6331" spans="4:4" x14ac:dyDescent="0.25">
      <c r="D6331" s="102"/>
    </row>
    <row r="6332" spans="4:4" x14ac:dyDescent="0.25">
      <c r="D6332" s="102"/>
    </row>
    <row r="6333" spans="4:4" x14ac:dyDescent="0.25">
      <c r="D6333" s="102"/>
    </row>
    <row r="6334" spans="4:4" x14ac:dyDescent="0.25">
      <c r="D6334" s="102"/>
    </row>
    <row r="6335" spans="4:4" x14ac:dyDescent="0.25">
      <c r="D6335" s="102"/>
    </row>
    <row r="6336" spans="4:4" x14ac:dyDescent="0.25">
      <c r="D6336" s="102"/>
    </row>
    <row r="6337" spans="4:4" x14ac:dyDescent="0.25">
      <c r="D6337" s="102"/>
    </row>
    <row r="6338" spans="4:4" x14ac:dyDescent="0.25">
      <c r="D6338" s="102"/>
    </row>
    <row r="6339" spans="4:4" x14ac:dyDescent="0.25">
      <c r="D6339" s="102"/>
    </row>
    <row r="6340" spans="4:4" x14ac:dyDescent="0.25">
      <c r="D6340" s="102"/>
    </row>
    <row r="6341" spans="4:4" x14ac:dyDescent="0.25">
      <c r="D6341" s="102"/>
    </row>
    <row r="6342" spans="4:4" x14ac:dyDescent="0.25">
      <c r="D6342" s="102"/>
    </row>
    <row r="6343" spans="4:4" x14ac:dyDescent="0.25">
      <c r="D6343" s="102"/>
    </row>
    <row r="6344" spans="4:4" x14ac:dyDescent="0.25">
      <c r="D6344" s="102"/>
    </row>
    <row r="6345" spans="4:4" x14ac:dyDescent="0.25">
      <c r="D6345" s="102"/>
    </row>
    <row r="6346" spans="4:4" x14ac:dyDescent="0.25">
      <c r="D6346" s="102"/>
    </row>
    <row r="6347" spans="4:4" x14ac:dyDescent="0.25">
      <c r="D6347" s="102"/>
    </row>
    <row r="6348" spans="4:4" x14ac:dyDescent="0.25">
      <c r="D6348" s="102"/>
    </row>
    <row r="6349" spans="4:4" x14ac:dyDescent="0.25">
      <c r="D6349" s="102"/>
    </row>
    <row r="6350" spans="4:4" x14ac:dyDescent="0.25">
      <c r="D6350" s="102"/>
    </row>
    <row r="6351" spans="4:4" x14ac:dyDescent="0.25">
      <c r="D6351" s="102"/>
    </row>
    <row r="6352" spans="4:4" x14ac:dyDescent="0.25">
      <c r="D6352" s="102"/>
    </row>
    <row r="6353" spans="4:4" x14ac:dyDescent="0.25">
      <c r="D6353" s="102"/>
    </row>
    <row r="6354" spans="4:4" x14ac:dyDescent="0.25">
      <c r="D6354" s="102"/>
    </row>
    <row r="6355" spans="4:4" x14ac:dyDescent="0.25">
      <c r="D6355" s="102"/>
    </row>
    <row r="6356" spans="4:4" x14ac:dyDescent="0.25">
      <c r="D6356" s="102"/>
    </row>
    <row r="6357" spans="4:4" x14ac:dyDescent="0.25">
      <c r="D6357" s="102"/>
    </row>
    <row r="6358" spans="4:4" x14ac:dyDescent="0.25">
      <c r="D6358" s="102"/>
    </row>
    <row r="6359" spans="4:4" x14ac:dyDescent="0.25">
      <c r="D6359" s="102"/>
    </row>
    <row r="6360" spans="4:4" x14ac:dyDescent="0.25">
      <c r="D6360" s="102"/>
    </row>
    <row r="6361" spans="4:4" x14ac:dyDescent="0.25">
      <c r="D6361" s="102"/>
    </row>
    <row r="6362" spans="4:4" x14ac:dyDescent="0.25">
      <c r="D6362" s="102"/>
    </row>
    <row r="6363" spans="4:4" x14ac:dyDescent="0.25">
      <c r="D6363" s="102"/>
    </row>
    <row r="6364" spans="4:4" x14ac:dyDescent="0.25">
      <c r="D6364" s="102"/>
    </row>
    <row r="6365" spans="4:4" x14ac:dyDescent="0.25">
      <c r="D6365" s="102"/>
    </row>
    <row r="6366" spans="4:4" x14ac:dyDescent="0.25">
      <c r="D6366" s="102"/>
    </row>
    <row r="6367" spans="4:4" x14ac:dyDescent="0.25">
      <c r="D6367" s="102"/>
    </row>
    <row r="6368" spans="4:4" x14ac:dyDescent="0.25">
      <c r="D6368" s="102"/>
    </row>
    <row r="6369" spans="4:4" x14ac:dyDescent="0.25">
      <c r="D6369" s="102"/>
    </row>
    <row r="6370" spans="4:4" x14ac:dyDescent="0.25">
      <c r="D6370" s="102"/>
    </row>
    <row r="6371" spans="4:4" x14ac:dyDescent="0.25">
      <c r="D6371" s="102"/>
    </row>
    <row r="6372" spans="4:4" x14ac:dyDescent="0.25">
      <c r="D6372" s="102"/>
    </row>
    <row r="6373" spans="4:4" x14ac:dyDescent="0.25">
      <c r="D6373" s="102"/>
    </row>
    <row r="6374" spans="4:4" x14ac:dyDescent="0.25">
      <c r="D6374" s="102"/>
    </row>
    <row r="6375" spans="4:4" x14ac:dyDescent="0.25">
      <c r="D6375" s="102"/>
    </row>
    <row r="6376" spans="4:4" x14ac:dyDescent="0.25">
      <c r="D6376" s="102"/>
    </row>
    <row r="6377" spans="4:4" x14ac:dyDescent="0.25">
      <c r="D6377" s="102"/>
    </row>
    <row r="6378" spans="4:4" x14ac:dyDescent="0.25">
      <c r="D6378" s="102"/>
    </row>
    <row r="6379" spans="4:4" x14ac:dyDescent="0.25">
      <c r="D6379" s="102"/>
    </row>
    <row r="6380" spans="4:4" x14ac:dyDescent="0.25">
      <c r="D6380" s="102"/>
    </row>
    <row r="6381" spans="4:4" x14ac:dyDescent="0.25">
      <c r="D6381" s="102"/>
    </row>
    <row r="6382" spans="4:4" x14ac:dyDescent="0.25">
      <c r="D6382" s="102"/>
    </row>
    <row r="6383" spans="4:4" x14ac:dyDescent="0.25">
      <c r="D6383" s="102"/>
    </row>
    <row r="6384" spans="4:4" x14ac:dyDescent="0.25">
      <c r="D6384" s="102"/>
    </row>
    <row r="6385" spans="4:4" x14ac:dyDescent="0.25">
      <c r="D6385" s="102"/>
    </row>
    <row r="6386" spans="4:4" x14ac:dyDescent="0.25">
      <c r="D6386" s="102"/>
    </row>
    <row r="6387" spans="4:4" x14ac:dyDescent="0.25">
      <c r="D6387" s="102"/>
    </row>
    <row r="6388" spans="4:4" x14ac:dyDescent="0.25">
      <c r="D6388" s="102"/>
    </row>
    <row r="6389" spans="4:4" x14ac:dyDescent="0.25">
      <c r="D6389" s="102"/>
    </row>
    <row r="6390" spans="4:4" x14ac:dyDescent="0.25">
      <c r="D6390" s="102"/>
    </row>
    <row r="6391" spans="4:4" x14ac:dyDescent="0.25">
      <c r="D6391" s="102"/>
    </row>
    <row r="6392" spans="4:4" x14ac:dyDescent="0.25">
      <c r="D6392" s="102"/>
    </row>
    <row r="6393" spans="4:4" x14ac:dyDescent="0.25">
      <c r="D6393" s="102"/>
    </row>
    <row r="6394" spans="4:4" x14ac:dyDescent="0.25">
      <c r="D6394" s="102"/>
    </row>
    <row r="6395" spans="4:4" x14ac:dyDescent="0.25">
      <c r="D6395" s="102"/>
    </row>
    <row r="6396" spans="4:4" x14ac:dyDescent="0.25">
      <c r="D6396" s="102"/>
    </row>
    <row r="6397" spans="4:4" x14ac:dyDescent="0.25">
      <c r="D6397" s="102"/>
    </row>
    <row r="6398" spans="4:4" x14ac:dyDescent="0.25">
      <c r="D6398" s="102"/>
    </row>
    <row r="6399" spans="4:4" x14ac:dyDescent="0.25">
      <c r="D6399" s="102"/>
    </row>
    <row r="6400" spans="4:4" x14ac:dyDescent="0.25">
      <c r="D6400" s="102"/>
    </row>
    <row r="6401" spans="4:4" x14ac:dyDescent="0.25">
      <c r="D6401" s="102"/>
    </row>
    <row r="6402" spans="4:4" x14ac:dyDescent="0.25">
      <c r="D6402" s="102"/>
    </row>
    <row r="6403" spans="4:4" x14ac:dyDescent="0.25">
      <c r="D6403" s="102"/>
    </row>
    <row r="6404" spans="4:4" x14ac:dyDescent="0.25">
      <c r="D6404" s="102"/>
    </row>
    <row r="6405" spans="4:4" x14ac:dyDescent="0.25">
      <c r="D6405" s="102"/>
    </row>
    <row r="6406" spans="4:4" x14ac:dyDescent="0.25">
      <c r="D6406" s="102"/>
    </row>
    <row r="6407" spans="4:4" x14ac:dyDescent="0.25">
      <c r="D6407" s="102"/>
    </row>
    <row r="6408" spans="4:4" x14ac:dyDescent="0.25">
      <c r="D6408" s="102"/>
    </row>
    <row r="6409" spans="4:4" x14ac:dyDescent="0.25">
      <c r="D6409" s="102"/>
    </row>
    <row r="6410" spans="4:4" x14ac:dyDescent="0.25">
      <c r="D6410" s="102"/>
    </row>
    <row r="6411" spans="4:4" x14ac:dyDescent="0.25">
      <c r="D6411" s="102"/>
    </row>
    <row r="6412" spans="4:4" x14ac:dyDescent="0.25">
      <c r="D6412" s="102"/>
    </row>
    <row r="6413" spans="4:4" x14ac:dyDescent="0.25">
      <c r="D6413" s="102"/>
    </row>
    <row r="6414" spans="4:4" x14ac:dyDescent="0.25">
      <c r="D6414" s="102"/>
    </row>
    <row r="6415" spans="4:4" x14ac:dyDescent="0.25">
      <c r="D6415" s="102"/>
    </row>
    <row r="6416" spans="4:4" x14ac:dyDescent="0.25">
      <c r="D6416" s="102"/>
    </row>
    <row r="6417" spans="4:4" x14ac:dyDescent="0.25">
      <c r="D6417" s="102"/>
    </row>
    <row r="6418" spans="4:4" x14ac:dyDescent="0.25">
      <c r="D6418" s="102"/>
    </row>
    <row r="6419" spans="4:4" x14ac:dyDescent="0.25">
      <c r="D6419" s="102"/>
    </row>
    <row r="6420" spans="4:4" x14ac:dyDescent="0.25">
      <c r="D6420" s="102"/>
    </row>
    <row r="6421" spans="4:4" x14ac:dyDescent="0.25">
      <c r="D6421" s="102"/>
    </row>
    <row r="6422" spans="4:4" x14ac:dyDescent="0.25">
      <c r="D6422" s="102"/>
    </row>
    <row r="6423" spans="4:4" x14ac:dyDescent="0.25">
      <c r="D6423" s="102"/>
    </row>
    <row r="6424" spans="4:4" x14ac:dyDescent="0.25">
      <c r="D6424" s="102"/>
    </row>
    <row r="6425" spans="4:4" x14ac:dyDescent="0.25">
      <c r="D6425" s="102"/>
    </row>
    <row r="6426" spans="4:4" x14ac:dyDescent="0.25">
      <c r="D6426" s="102"/>
    </row>
    <row r="6427" spans="4:4" x14ac:dyDescent="0.25">
      <c r="D6427" s="102"/>
    </row>
    <row r="6428" spans="4:4" x14ac:dyDescent="0.25">
      <c r="D6428" s="102"/>
    </row>
    <row r="6429" spans="4:4" x14ac:dyDescent="0.25">
      <c r="D6429" s="102"/>
    </row>
    <row r="6430" spans="4:4" x14ac:dyDescent="0.25">
      <c r="D6430" s="102"/>
    </row>
    <row r="6431" spans="4:4" x14ac:dyDescent="0.25">
      <c r="D6431" s="102"/>
    </row>
    <row r="6432" spans="4:4" x14ac:dyDescent="0.25">
      <c r="D6432" s="102"/>
    </row>
    <row r="6433" spans="4:4" x14ac:dyDescent="0.25">
      <c r="D6433" s="102"/>
    </row>
    <row r="6434" spans="4:4" x14ac:dyDescent="0.25">
      <c r="D6434" s="102"/>
    </row>
    <row r="6435" spans="4:4" x14ac:dyDescent="0.25">
      <c r="D6435" s="102"/>
    </row>
    <row r="6436" spans="4:4" x14ac:dyDescent="0.25">
      <c r="D6436" s="102"/>
    </row>
    <row r="6437" spans="4:4" x14ac:dyDescent="0.25">
      <c r="D6437" s="102"/>
    </row>
    <row r="6438" spans="4:4" x14ac:dyDescent="0.25">
      <c r="D6438" s="102"/>
    </row>
    <row r="6439" spans="4:4" x14ac:dyDescent="0.25">
      <c r="D6439" s="102"/>
    </row>
    <row r="6440" spans="4:4" x14ac:dyDescent="0.25">
      <c r="D6440" s="102"/>
    </row>
    <row r="6441" spans="4:4" x14ac:dyDescent="0.25">
      <c r="D6441" s="102"/>
    </row>
    <row r="6442" spans="4:4" x14ac:dyDescent="0.25">
      <c r="D6442" s="102"/>
    </row>
    <row r="6443" spans="4:4" x14ac:dyDescent="0.25">
      <c r="D6443" s="102"/>
    </row>
    <row r="6444" spans="4:4" x14ac:dyDescent="0.25">
      <c r="D6444" s="102"/>
    </row>
    <row r="6445" spans="4:4" x14ac:dyDescent="0.25">
      <c r="D6445" s="102"/>
    </row>
    <row r="6446" spans="4:4" x14ac:dyDescent="0.25">
      <c r="D6446" s="102"/>
    </row>
    <row r="6447" spans="4:4" x14ac:dyDescent="0.25">
      <c r="D6447" s="102"/>
    </row>
    <row r="6448" spans="4:4" x14ac:dyDescent="0.25">
      <c r="D6448" s="102"/>
    </row>
    <row r="6449" spans="4:4" x14ac:dyDescent="0.25">
      <c r="D6449" s="102"/>
    </row>
    <row r="6450" spans="4:4" x14ac:dyDescent="0.25">
      <c r="D6450" s="102"/>
    </row>
    <row r="6451" spans="4:4" x14ac:dyDescent="0.25">
      <c r="D6451" s="102"/>
    </row>
    <row r="6452" spans="4:4" x14ac:dyDescent="0.25">
      <c r="D6452" s="102"/>
    </row>
    <row r="6453" spans="4:4" x14ac:dyDescent="0.25">
      <c r="D6453" s="102"/>
    </row>
    <row r="6454" spans="4:4" x14ac:dyDescent="0.25">
      <c r="D6454" s="102"/>
    </row>
    <row r="6455" spans="4:4" x14ac:dyDescent="0.25">
      <c r="D6455" s="102"/>
    </row>
    <row r="6456" spans="4:4" x14ac:dyDescent="0.25">
      <c r="D6456" s="102"/>
    </row>
    <row r="6457" spans="4:4" x14ac:dyDescent="0.25">
      <c r="D6457" s="102"/>
    </row>
    <row r="6458" spans="4:4" x14ac:dyDescent="0.25">
      <c r="D6458" s="102"/>
    </row>
    <row r="6459" spans="4:4" x14ac:dyDescent="0.25">
      <c r="D6459" s="102"/>
    </row>
    <row r="6460" spans="4:4" x14ac:dyDescent="0.25">
      <c r="D6460" s="102"/>
    </row>
    <row r="6461" spans="4:4" x14ac:dyDescent="0.25">
      <c r="D6461" s="102"/>
    </row>
    <row r="6462" spans="4:4" x14ac:dyDescent="0.25">
      <c r="D6462" s="102"/>
    </row>
    <row r="6463" spans="4:4" x14ac:dyDescent="0.25">
      <c r="D6463" s="102"/>
    </row>
    <row r="6464" spans="4:4" x14ac:dyDescent="0.25">
      <c r="D6464" s="102"/>
    </row>
    <row r="6465" spans="4:4" x14ac:dyDescent="0.25">
      <c r="D6465" s="102"/>
    </row>
    <row r="6466" spans="4:4" x14ac:dyDescent="0.25">
      <c r="D6466" s="102"/>
    </row>
    <row r="6467" spans="4:4" x14ac:dyDescent="0.25">
      <c r="D6467" s="102"/>
    </row>
    <row r="6468" spans="4:4" x14ac:dyDescent="0.25">
      <c r="D6468" s="102"/>
    </row>
    <row r="6469" spans="4:4" x14ac:dyDescent="0.25">
      <c r="D6469" s="102"/>
    </row>
    <row r="6470" spans="4:4" x14ac:dyDescent="0.25">
      <c r="D6470" s="102"/>
    </row>
    <row r="6471" spans="4:4" x14ac:dyDescent="0.25">
      <c r="D6471" s="102"/>
    </row>
    <row r="6472" spans="4:4" x14ac:dyDescent="0.25">
      <c r="D6472" s="102"/>
    </row>
    <row r="6473" spans="4:4" x14ac:dyDescent="0.25">
      <c r="D6473" s="102"/>
    </row>
    <row r="6474" spans="4:4" x14ac:dyDescent="0.25">
      <c r="D6474" s="102"/>
    </row>
    <row r="6475" spans="4:4" x14ac:dyDescent="0.25">
      <c r="D6475" s="102"/>
    </row>
    <row r="6476" spans="4:4" x14ac:dyDescent="0.25">
      <c r="D6476" s="102"/>
    </row>
    <row r="6477" spans="4:4" x14ac:dyDescent="0.25">
      <c r="D6477" s="102"/>
    </row>
    <row r="6478" spans="4:4" x14ac:dyDescent="0.25">
      <c r="D6478" s="102"/>
    </row>
    <row r="6479" spans="4:4" x14ac:dyDescent="0.25">
      <c r="D6479" s="102"/>
    </row>
    <row r="6480" spans="4:4" x14ac:dyDescent="0.25">
      <c r="D6480" s="102"/>
    </row>
    <row r="6481" spans="4:4" x14ac:dyDescent="0.25">
      <c r="D6481" s="102"/>
    </row>
    <row r="6482" spans="4:4" x14ac:dyDescent="0.25">
      <c r="D6482" s="102"/>
    </row>
    <row r="6483" spans="4:4" x14ac:dyDescent="0.25">
      <c r="D6483" s="102"/>
    </row>
    <row r="6484" spans="4:4" x14ac:dyDescent="0.25">
      <c r="D6484" s="102"/>
    </row>
    <row r="6485" spans="4:4" x14ac:dyDescent="0.25">
      <c r="D6485" s="102"/>
    </row>
    <row r="6486" spans="4:4" x14ac:dyDescent="0.25">
      <c r="D6486" s="102"/>
    </row>
    <row r="6487" spans="4:4" x14ac:dyDescent="0.25">
      <c r="D6487" s="102"/>
    </row>
    <row r="6488" spans="4:4" x14ac:dyDescent="0.25">
      <c r="D6488" s="102"/>
    </row>
    <row r="6489" spans="4:4" x14ac:dyDescent="0.25">
      <c r="D6489" s="102"/>
    </row>
    <row r="6490" spans="4:4" x14ac:dyDescent="0.25">
      <c r="D6490" s="102"/>
    </row>
    <row r="6491" spans="4:4" x14ac:dyDescent="0.25">
      <c r="D6491" s="102"/>
    </row>
    <row r="6492" spans="4:4" x14ac:dyDescent="0.25">
      <c r="D6492" s="102"/>
    </row>
    <row r="6493" spans="4:4" x14ac:dyDescent="0.25">
      <c r="D6493" s="102"/>
    </row>
    <row r="6494" spans="4:4" x14ac:dyDescent="0.25">
      <c r="D6494" s="102"/>
    </row>
    <row r="6495" spans="4:4" x14ac:dyDescent="0.25">
      <c r="D6495" s="102"/>
    </row>
    <row r="6496" spans="4:4" x14ac:dyDescent="0.25">
      <c r="D6496" s="102"/>
    </row>
    <row r="6497" spans="4:4" x14ac:dyDescent="0.25">
      <c r="D6497" s="102"/>
    </row>
    <row r="6498" spans="4:4" x14ac:dyDescent="0.25">
      <c r="D6498" s="102"/>
    </row>
    <row r="6499" spans="4:4" x14ac:dyDescent="0.25">
      <c r="D6499" s="102"/>
    </row>
    <row r="6500" spans="4:4" x14ac:dyDescent="0.25">
      <c r="D6500" s="102"/>
    </row>
    <row r="6501" spans="4:4" x14ac:dyDescent="0.25">
      <c r="D6501" s="102"/>
    </row>
    <row r="6502" spans="4:4" x14ac:dyDescent="0.25">
      <c r="D6502" s="102"/>
    </row>
    <row r="6503" spans="4:4" x14ac:dyDescent="0.25">
      <c r="D6503" s="102"/>
    </row>
    <row r="6504" spans="4:4" x14ac:dyDescent="0.25">
      <c r="D6504" s="102"/>
    </row>
    <row r="6505" spans="4:4" x14ac:dyDescent="0.25">
      <c r="D6505" s="102"/>
    </row>
    <row r="6506" spans="4:4" x14ac:dyDescent="0.25">
      <c r="D6506" s="102"/>
    </row>
    <row r="6507" spans="4:4" x14ac:dyDescent="0.25">
      <c r="D6507" s="102"/>
    </row>
    <row r="6508" spans="4:4" x14ac:dyDescent="0.25">
      <c r="D6508" s="102"/>
    </row>
    <row r="6509" spans="4:4" x14ac:dyDescent="0.25">
      <c r="D6509" s="102"/>
    </row>
    <row r="6510" spans="4:4" x14ac:dyDescent="0.25">
      <c r="D6510" s="102"/>
    </row>
    <row r="6511" spans="4:4" x14ac:dyDescent="0.25">
      <c r="D6511" s="102"/>
    </row>
    <row r="6512" spans="4:4" x14ac:dyDescent="0.25">
      <c r="D6512" s="102"/>
    </row>
    <row r="6513" spans="4:4" x14ac:dyDescent="0.25">
      <c r="D6513" s="102"/>
    </row>
    <row r="6514" spans="4:4" x14ac:dyDescent="0.25">
      <c r="D6514" s="102"/>
    </row>
    <row r="6515" spans="4:4" x14ac:dyDescent="0.25">
      <c r="D6515" s="102"/>
    </row>
    <row r="6516" spans="4:4" x14ac:dyDescent="0.25">
      <c r="D6516" s="102"/>
    </row>
    <row r="6517" spans="4:4" x14ac:dyDescent="0.25">
      <c r="D6517" s="102"/>
    </row>
    <row r="6518" spans="4:4" x14ac:dyDescent="0.25">
      <c r="D6518" s="102"/>
    </row>
    <row r="6519" spans="4:4" x14ac:dyDescent="0.25">
      <c r="D6519" s="102"/>
    </row>
    <row r="6520" spans="4:4" x14ac:dyDescent="0.25">
      <c r="D6520" s="102"/>
    </row>
    <row r="6521" spans="4:4" x14ac:dyDescent="0.25">
      <c r="D6521" s="102"/>
    </row>
    <row r="6522" spans="4:4" x14ac:dyDescent="0.25">
      <c r="D6522" s="102"/>
    </row>
    <row r="6523" spans="4:4" x14ac:dyDescent="0.25">
      <c r="D6523" s="102"/>
    </row>
    <row r="6524" spans="4:4" x14ac:dyDescent="0.25">
      <c r="D6524" s="102"/>
    </row>
    <row r="6525" spans="4:4" x14ac:dyDescent="0.25">
      <c r="D6525" s="102"/>
    </row>
    <row r="6526" spans="4:4" x14ac:dyDescent="0.25">
      <c r="D6526" s="102"/>
    </row>
    <row r="6527" spans="4:4" x14ac:dyDescent="0.25">
      <c r="D6527" s="102"/>
    </row>
    <row r="6528" spans="4:4" x14ac:dyDescent="0.25">
      <c r="D6528" s="102"/>
    </row>
    <row r="6529" spans="4:4" x14ac:dyDescent="0.25">
      <c r="D6529" s="102"/>
    </row>
    <row r="6530" spans="4:4" x14ac:dyDescent="0.25">
      <c r="D6530" s="102"/>
    </row>
    <row r="6531" spans="4:4" x14ac:dyDescent="0.25">
      <c r="D6531" s="102"/>
    </row>
    <row r="6532" spans="4:4" x14ac:dyDescent="0.25">
      <c r="D6532" s="102"/>
    </row>
    <row r="6533" spans="4:4" x14ac:dyDescent="0.25">
      <c r="D6533" s="102"/>
    </row>
    <row r="6534" spans="4:4" x14ac:dyDescent="0.25">
      <c r="D6534" s="102"/>
    </row>
    <row r="6535" spans="4:4" x14ac:dyDescent="0.25">
      <c r="D6535" s="102"/>
    </row>
    <row r="6536" spans="4:4" x14ac:dyDescent="0.25">
      <c r="D6536" s="102"/>
    </row>
    <row r="6537" spans="4:4" x14ac:dyDescent="0.25">
      <c r="D6537" s="102"/>
    </row>
    <row r="6538" spans="4:4" x14ac:dyDescent="0.25">
      <c r="D6538" s="102"/>
    </row>
    <row r="6539" spans="4:4" x14ac:dyDescent="0.25">
      <c r="D6539" s="102"/>
    </row>
    <row r="6540" spans="4:4" x14ac:dyDescent="0.25">
      <c r="D6540" s="102"/>
    </row>
    <row r="6541" spans="4:4" x14ac:dyDescent="0.25">
      <c r="D6541" s="102"/>
    </row>
    <row r="6542" spans="4:4" x14ac:dyDescent="0.25">
      <c r="D6542" s="102"/>
    </row>
    <row r="6543" spans="4:4" x14ac:dyDescent="0.25">
      <c r="D6543" s="102"/>
    </row>
    <row r="6544" spans="4:4" x14ac:dyDescent="0.25">
      <c r="D6544" s="102"/>
    </row>
    <row r="6545" spans="4:4" x14ac:dyDescent="0.25">
      <c r="D6545" s="102"/>
    </row>
    <row r="6546" spans="4:4" x14ac:dyDescent="0.25">
      <c r="D6546" s="102"/>
    </row>
    <row r="6547" spans="4:4" x14ac:dyDescent="0.25">
      <c r="D6547" s="102"/>
    </row>
    <row r="6548" spans="4:4" x14ac:dyDescent="0.25">
      <c r="D6548" s="102"/>
    </row>
    <row r="6549" spans="4:4" x14ac:dyDescent="0.25">
      <c r="D6549" s="102"/>
    </row>
    <row r="6550" spans="4:4" x14ac:dyDescent="0.25">
      <c r="D6550" s="102"/>
    </row>
    <row r="6551" spans="4:4" x14ac:dyDescent="0.25">
      <c r="D6551" s="102"/>
    </row>
    <row r="6552" spans="4:4" x14ac:dyDescent="0.25">
      <c r="D6552" s="102"/>
    </row>
    <row r="6553" spans="4:4" x14ac:dyDescent="0.25">
      <c r="D6553" s="102"/>
    </row>
    <row r="6554" spans="4:4" x14ac:dyDescent="0.25">
      <c r="D6554" s="102"/>
    </row>
    <row r="6555" spans="4:4" x14ac:dyDescent="0.25">
      <c r="D6555" s="102"/>
    </row>
    <row r="6556" spans="4:4" x14ac:dyDescent="0.25">
      <c r="D6556" s="102"/>
    </row>
    <row r="6557" spans="4:4" x14ac:dyDescent="0.25">
      <c r="D6557" s="102"/>
    </row>
    <row r="6558" spans="4:4" x14ac:dyDescent="0.25">
      <c r="D6558" s="102"/>
    </row>
    <row r="6559" spans="4:4" x14ac:dyDescent="0.25">
      <c r="D6559" s="102"/>
    </row>
    <row r="6560" spans="4:4" x14ac:dyDescent="0.25">
      <c r="D6560" s="102"/>
    </row>
    <row r="6561" spans="4:4" x14ac:dyDescent="0.25">
      <c r="D6561" s="102"/>
    </row>
    <row r="6562" spans="4:4" x14ac:dyDescent="0.25">
      <c r="D6562" s="102"/>
    </row>
    <row r="6563" spans="4:4" x14ac:dyDescent="0.25">
      <c r="D6563" s="102"/>
    </row>
    <row r="6564" spans="4:4" x14ac:dyDescent="0.25">
      <c r="D6564" s="102"/>
    </row>
    <row r="6565" spans="4:4" x14ac:dyDescent="0.25">
      <c r="D6565" s="102"/>
    </row>
    <row r="6566" spans="4:4" x14ac:dyDescent="0.25">
      <c r="D6566" s="102"/>
    </row>
    <row r="6567" spans="4:4" x14ac:dyDescent="0.25">
      <c r="D6567" s="102"/>
    </row>
    <row r="6568" spans="4:4" x14ac:dyDescent="0.25">
      <c r="D6568" s="102"/>
    </row>
    <row r="6569" spans="4:4" x14ac:dyDescent="0.25">
      <c r="D6569" s="102"/>
    </row>
    <row r="6570" spans="4:4" x14ac:dyDescent="0.25">
      <c r="D6570" s="102"/>
    </row>
    <row r="6571" spans="4:4" x14ac:dyDescent="0.25">
      <c r="D6571" s="102"/>
    </row>
    <row r="6572" spans="4:4" x14ac:dyDescent="0.25">
      <c r="D6572" s="102"/>
    </row>
    <row r="6573" spans="4:4" x14ac:dyDescent="0.25">
      <c r="D6573" s="102"/>
    </row>
    <row r="6574" spans="4:4" x14ac:dyDescent="0.25">
      <c r="D6574" s="102"/>
    </row>
    <row r="6575" spans="4:4" x14ac:dyDescent="0.25">
      <c r="D6575" s="102"/>
    </row>
    <row r="6576" spans="4:4" x14ac:dyDescent="0.25">
      <c r="D6576" s="102"/>
    </row>
    <row r="6577" spans="4:4" x14ac:dyDescent="0.25">
      <c r="D6577" s="102"/>
    </row>
    <row r="6578" spans="4:4" x14ac:dyDescent="0.25">
      <c r="D6578" s="102"/>
    </row>
    <row r="6579" spans="4:4" x14ac:dyDescent="0.25">
      <c r="D6579" s="102"/>
    </row>
    <row r="6580" spans="4:4" x14ac:dyDescent="0.25">
      <c r="D6580" s="102"/>
    </row>
    <row r="6581" spans="4:4" x14ac:dyDescent="0.25">
      <c r="D6581" s="102"/>
    </row>
    <row r="6582" spans="4:4" x14ac:dyDescent="0.25">
      <c r="D6582" s="102"/>
    </row>
    <row r="6583" spans="4:4" x14ac:dyDescent="0.25">
      <c r="D6583" s="102"/>
    </row>
    <row r="6584" spans="4:4" x14ac:dyDescent="0.25">
      <c r="D6584" s="102"/>
    </row>
    <row r="6585" spans="4:4" x14ac:dyDescent="0.25">
      <c r="D6585" s="102"/>
    </row>
    <row r="6586" spans="4:4" x14ac:dyDescent="0.25">
      <c r="D6586" s="102"/>
    </row>
    <row r="6587" spans="4:4" x14ac:dyDescent="0.25">
      <c r="D6587" s="102"/>
    </row>
    <row r="6588" spans="4:4" x14ac:dyDescent="0.25">
      <c r="D6588" s="102"/>
    </row>
    <row r="6589" spans="4:4" x14ac:dyDescent="0.25">
      <c r="D6589" s="102"/>
    </row>
    <row r="6590" spans="4:4" x14ac:dyDescent="0.25">
      <c r="D6590" s="102"/>
    </row>
    <row r="6591" spans="4:4" x14ac:dyDescent="0.25">
      <c r="D6591" s="102"/>
    </row>
    <row r="6592" spans="4:4" x14ac:dyDescent="0.25">
      <c r="D6592" s="102"/>
    </row>
    <row r="6593" spans="4:4" x14ac:dyDescent="0.25">
      <c r="D6593" s="102"/>
    </row>
    <row r="6594" spans="4:4" x14ac:dyDescent="0.25">
      <c r="D6594" s="102"/>
    </row>
    <row r="6595" spans="4:4" x14ac:dyDescent="0.25">
      <c r="D6595" s="102"/>
    </row>
    <row r="6596" spans="4:4" x14ac:dyDescent="0.25">
      <c r="D6596" s="102"/>
    </row>
    <row r="6597" spans="4:4" x14ac:dyDescent="0.25">
      <c r="D6597" s="102"/>
    </row>
    <row r="6598" spans="4:4" x14ac:dyDescent="0.25">
      <c r="D6598" s="102"/>
    </row>
    <row r="6599" spans="4:4" x14ac:dyDescent="0.25">
      <c r="D6599" s="102"/>
    </row>
    <row r="6600" spans="4:4" x14ac:dyDescent="0.25">
      <c r="D6600" s="102"/>
    </row>
    <row r="6601" spans="4:4" x14ac:dyDescent="0.25">
      <c r="D6601" s="102"/>
    </row>
    <row r="6602" spans="4:4" x14ac:dyDescent="0.25">
      <c r="D6602" s="102"/>
    </row>
    <row r="6603" spans="4:4" x14ac:dyDescent="0.25">
      <c r="D6603" s="102"/>
    </row>
    <row r="6604" spans="4:4" x14ac:dyDescent="0.25">
      <c r="D6604" s="102"/>
    </row>
    <row r="6605" spans="4:4" x14ac:dyDescent="0.25">
      <c r="D6605" s="102"/>
    </row>
    <row r="6606" spans="4:4" x14ac:dyDescent="0.25">
      <c r="D6606" s="102"/>
    </row>
    <row r="6607" spans="4:4" x14ac:dyDescent="0.25">
      <c r="D6607" s="102"/>
    </row>
    <row r="6608" spans="4:4" x14ac:dyDescent="0.25">
      <c r="D6608" s="102"/>
    </row>
    <row r="6609" spans="4:4" x14ac:dyDescent="0.25">
      <c r="D6609" s="102"/>
    </row>
    <row r="6610" spans="4:4" x14ac:dyDescent="0.25">
      <c r="D6610" s="102"/>
    </row>
    <row r="6611" spans="4:4" x14ac:dyDescent="0.25">
      <c r="D6611" s="102"/>
    </row>
    <row r="6612" spans="4:4" x14ac:dyDescent="0.25">
      <c r="D6612" s="102"/>
    </row>
    <row r="6613" spans="4:4" x14ac:dyDescent="0.25">
      <c r="D6613" s="102"/>
    </row>
    <row r="6614" spans="4:4" x14ac:dyDescent="0.25">
      <c r="D6614" s="102"/>
    </row>
    <row r="6615" spans="4:4" x14ac:dyDescent="0.25">
      <c r="D6615" s="102"/>
    </row>
    <row r="6616" spans="4:4" x14ac:dyDescent="0.25">
      <c r="D6616" s="102"/>
    </row>
    <row r="6617" spans="4:4" x14ac:dyDescent="0.25">
      <c r="D6617" s="102"/>
    </row>
    <row r="6618" spans="4:4" x14ac:dyDescent="0.25">
      <c r="D6618" s="102"/>
    </row>
    <row r="6619" spans="4:4" x14ac:dyDescent="0.25">
      <c r="D6619" s="102"/>
    </row>
    <row r="6620" spans="4:4" x14ac:dyDescent="0.25">
      <c r="D6620" s="102"/>
    </row>
    <row r="6621" spans="4:4" x14ac:dyDescent="0.25">
      <c r="D6621" s="102"/>
    </row>
    <row r="6622" spans="4:4" x14ac:dyDescent="0.25">
      <c r="D6622" s="102"/>
    </row>
    <row r="6623" spans="4:4" x14ac:dyDescent="0.25">
      <c r="D6623" s="102"/>
    </row>
    <row r="6624" spans="4:4" x14ac:dyDescent="0.25">
      <c r="D6624" s="102"/>
    </row>
    <row r="6625" spans="4:4" x14ac:dyDescent="0.25">
      <c r="D6625" s="102"/>
    </row>
    <row r="6626" spans="4:4" x14ac:dyDescent="0.25">
      <c r="D6626" s="102"/>
    </row>
    <row r="6627" spans="4:4" x14ac:dyDescent="0.25">
      <c r="D6627" s="102"/>
    </row>
    <row r="6628" spans="4:4" x14ac:dyDescent="0.25">
      <c r="D6628" s="102"/>
    </row>
    <row r="6629" spans="4:4" x14ac:dyDescent="0.25">
      <c r="D6629" s="102"/>
    </row>
    <row r="6630" spans="4:4" x14ac:dyDescent="0.25">
      <c r="D6630" s="102"/>
    </row>
    <row r="6631" spans="4:4" x14ac:dyDescent="0.25">
      <c r="D6631" s="102"/>
    </row>
    <row r="6632" spans="4:4" x14ac:dyDescent="0.25">
      <c r="D6632" s="102"/>
    </row>
    <row r="6633" spans="4:4" x14ac:dyDescent="0.25">
      <c r="D6633" s="102"/>
    </row>
    <row r="6634" spans="4:4" x14ac:dyDescent="0.25">
      <c r="D6634" s="102"/>
    </row>
    <row r="6635" spans="4:4" x14ac:dyDescent="0.25">
      <c r="D6635" s="102"/>
    </row>
    <row r="6636" spans="4:4" x14ac:dyDescent="0.25">
      <c r="D6636" s="102"/>
    </row>
    <row r="6637" spans="4:4" x14ac:dyDescent="0.25">
      <c r="D6637" s="102"/>
    </row>
    <row r="6638" spans="4:4" x14ac:dyDescent="0.25">
      <c r="D6638" s="102"/>
    </row>
    <row r="6639" spans="4:4" x14ac:dyDescent="0.25">
      <c r="D6639" s="102"/>
    </row>
    <row r="6640" spans="4:4" x14ac:dyDescent="0.25">
      <c r="D6640" s="102"/>
    </row>
    <row r="6641" spans="4:4" x14ac:dyDescent="0.25">
      <c r="D6641" s="102"/>
    </row>
    <row r="6642" spans="4:4" x14ac:dyDescent="0.25">
      <c r="D6642" s="102"/>
    </row>
    <row r="6643" spans="4:4" x14ac:dyDescent="0.25">
      <c r="D6643" s="102"/>
    </row>
    <row r="6644" spans="4:4" x14ac:dyDescent="0.25">
      <c r="D6644" s="102"/>
    </row>
    <row r="6645" spans="4:4" x14ac:dyDescent="0.25">
      <c r="D6645" s="102"/>
    </row>
    <row r="6646" spans="4:4" x14ac:dyDescent="0.25">
      <c r="D6646" s="102"/>
    </row>
    <row r="6647" spans="4:4" x14ac:dyDescent="0.25">
      <c r="D6647" s="102"/>
    </row>
    <row r="6648" spans="4:4" x14ac:dyDescent="0.25">
      <c r="D6648" s="102"/>
    </row>
    <row r="6649" spans="4:4" x14ac:dyDescent="0.25">
      <c r="D6649" s="102"/>
    </row>
    <row r="6650" spans="4:4" x14ac:dyDescent="0.25">
      <c r="D6650" s="102"/>
    </row>
    <row r="6651" spans="4:4" x14ac:dyDescent="0.25">
      <c r="D6651" s="102"/>
    </row>
    <row r="6652" spans="4:4" x14ac:dyDescent="0.25">
      <c r="D6652" s="102"/>
    </row>
    <row r="6653" spans="4:4" x14ac:dyDescent="0.25">
      <c r="D6653" s="102"/>
    </row>
    <row r="6654" spans="4:4" x14ac:dyDescent="0.25">
      <c r="D6654" s="102"/>
    </row>
    <row r="6655" spans="4:4" x14ac:dyDescent="0.25">
      <c r="D6655" s="102"/>
    </row>
    <row r="6656" spans="4:4" x14ac:dyDescent="0.25">
      <c r="D6656" s="102"/>
    </row>
    <row r="6657" spans="4:4" x14ac:dyDescent="0.25">
      <c r="D6657" s="102"/>
    </row>
    <row r="6658" spans="4:4" x14ac:dyDescent="0.25">
      <c r="D6658" s="102"/>
    </row>
    <row r="6659" spans="4:4" x14ac:dyDescent="0.25">
      <c r="D6659" s="102"/>
    </row>
    <row r="6660" spans="4:4" x14ac:dyDescent="0.25">
      <c r="D6660" s="102"/>
    </row>
    <row r="6661" spans="4:4" x14ac:dyDescent="0.25">
      <c r="D6661" s="102"/>
    </row>
    <row r="6662" spans="4:4" x14ac:dyDescent="0.25">
      <c r="D6662" s="102"/>
    </row>
    <row r="6663" spans="4:4" x14ac:dyDescent="0.25">
      <c r="D6663" s="102"/>
    </row>
    <row r="6664" spans="4:4" x14ac:dyDescent="0.25">
      <c r="D6664" s="102"/>
    </row>
    <row r="6665" spans="4:4" x14ac:dyDescent="0.25">
      <c r="D6665" s="102"/>
    </row>
    <row r="6666" spans="4:4" x14ac:dyDescent="0.25">
      <c r="D6666" s="102"/>
    </row>
    <row r="6667" spans="4:4" x14ac:dyDescent="0.25">
      <c r="D6667" s="102"/>
    </row>
    <row r="6668" spans="4:4" x14ac:dyDescent="0.25">
      <c r="D6668" s="102"/>
    </row>
    <row r="6669" spans="4:4" x14ac:dyDescent="0.25">
      <c r="D6669" s="102"/>
    </row>
    <row r="6670" spans="4:4" x14ac:dyDescent="0.25">
      <c r="D6670" s="102"/>
    </row>
    <row r="6671" spans="4:4" x14ac:dyDescent="0.25">
      <c r="D6671" s="102"/>
    </row>
    <row r="6672" spans="4:4" x14ac:dyDescent="0.25">
      <c r="D6672" s="102"/>
    </row>
    <row r="6673" spans="4:4" x14ac:dyDescent="0.25">
      <c r="D6673" s="102"/>
    </row>
    <row r="6674" spans="4:4" x14ac:dyDescent="0.25">
      <c r="D6674" s="102"/>
    </row>
    <row r="6675" spans="4:4" x14ac:dyDescent="0.25">
      <c r="D6675" s="102"/>
    </row>
    <row r="6676" spans="4:4" x14ac:dyDescent="0.25">
      <c r="D6676" s="102"/>
    </row>
    <row r="6677" spans="4:4" x14ac:dyDescent="0.25">
      <c r="D6677" s="102"/>
    </row>
    <row r="6678" spans="4:4" x14ac:dyDescent="0.25">
      <c r="D6678" s="102"/>
    </row>
    <row r="6679" spans="4:4" x14ac:dyDescent="0.25">
      <c r="D6679" s="102"/>
    </row>
    <row r="6680" spans="4:4" x14ac:dyDescent="0.25">
      <c r="D6680" s="102"/>
    </row>
    <row r="6681" spans="4:4" x14ac:dyDescent="0.25">
      <c r="D6681" s="102"/>
    </row>
    <row r="6682" spans="4:4" x14ac:dyDescent="0.25">
      <c r="D6682" s="102"/>
    </row>
    <row r="6683" spans="4:4" x14ac:dyDescent="0.25">
      <c r="D6683" s="102"/>
    </row>
    <row r="6684" spans="4:4" x14ac:dyDescent="0.25">
      <c r="D6684" s="102"/>
    </row>
    <row r="6685" spans="4:4" x14ac:dyDescent="0.25">
      <c r="D6685" s="102"/>
    </row>
    <row r="6686" spans="4:4" x14ac:dyDescent="0.25">
      <c r="D6686" s="102"/>
    </row>
    <row r="6687" spans="4:4" x14ac:dyDescent="0.25">
      <c r="D6687" s="102"/>
    </row>
    <row r="6688" spans="4:4" x14ac:dyDescent="0.25">
      <c r="D6688" s="102"/>
    </row>
    <row r="6689" spans="4:4" x14ac:dyDescent="0.25">
      <c r="D6689" s="102"/>
    </row>
    <row r="6690" spans="4:4" x14ac:dyDescent="0.25">
      <c r="D6690" s="102"/>
    </row>
    <row r="6691" spans="4:4" x14ac:dyDescent="0.25">
      <c r="D6691" s="102"/>
    </row>
    <row r="6692" spans="4:4" x14ac:dyDescent="0.25">
      <c r="D6692" s="102"/>
    </row>
    <row r="6693" spans="4:4" x14ac:dyDescent="0.25">
      <c r="D6693" s="102"/>
    </row>
    <row r="6694" spans="4:4" x14ac:dyDescent="0.25">
      <c r="D6694" s="102"/>
    </row>
    <row r="6695" spans="4:4" x14ac:dyDescent="0.25">
      <c r="D6695" s="102"/>
    </row>
    <row r="6696" spans="4:4" x14ac:dyDescent="0.25">
      <c r="D6696" s="102"/>
    </row>
    <row r="6697" spans="4:4" x14ac:dyDescent="0.25">
      <c r="D6697" s="102"/>
    </row>
    <row r="6698" spans="4:4" x14ac:dyDescent="0.25">
      <c r="D6698" s="102"/>
    </row>
    <row r="6699" spans="4:4" x14ac:dyDescent="0.25">
      <c r="D6699" s="102"/>
    </row>
    <row r="6700" spans="4:4" x14ac:dyDescent="0.25">
      <c r="D6700" s="102"/>
    </row>
    <row r="6701" spans="4:4" x14ac:dyDescent="0.25">
      <c r="D6701" s="102"/>
    </row>
    <row r="6702" spans="4:4" x14ac:dyDescent="0.25">
      <c r="D6702" s="102"/>
    </row>
    <row r="6703" spans="4:4" x14ac:dyDescent="0.25">
      <c r="D6703" s="102"/>
    </row>
    <row r="6704" spans="4:4" x14ac:dyDescent="0.25">
      <c r="D6704" s="102"/>
    </row>
    <row r="6705" spans="4:4" x14ac:dyDescent="0.25">
      <c r="D6705" s="102"/>
    </row>
    <row r="6706" spans="4:4" x14ac:dyDescent="0.25">
      <c r="D6706" s="102"/>
    </row>
    <row r="6707" spans="4:4" x14ac:dyDescent="0.25">
      <c r="D6707" s="102"/>
    </row>
    <row r="6708" spans="4:4" x14ac:dyDescent="0.25">
      <c r="D6708" s="102"/>
    </row>
    <row r="6709" spans="4:4" x14ac:dyDescent="0.25">
      <c r="D6709" s="102"/>
    </row>
    <row r="6710" spans="4:4" x14ac:dyDescent="0.25">
      <c r="D6710" s="102"/>
    </row>
    <row r="6711" spans="4:4" x14ac:dyDescent="0.25">
      <c r="D6711" s="102"/>
    </row>
    <row r="6712" spans="4:4" x14ac:dyDescent="0.25">
      <c r="D6712" s="102"/>
    </row>
    <row r="6713" spans="4:4" x14ac:dyDescent="0.25">
      <c r="D6713" s="102"/>
    </row>
    <row r="6714" spans="4:4" x14ac:dyDescent="0.25">
      <c r="D6714" s="102"/>
    </row>
    <row r="6715" spans="4:4" x14ac:dyDescent="0.25">
      <c r="D6715" s="102"/>
    </row>
    <row r="6716" spans="4:4" x14ac:dyDescent="0.25">
      <c r="D6716" s="102"/>
    </row>
    <row r="6717" spans="4:4" x14ac:dyDescent="0.25">
      <c r="D6717" s="102"/>
    </row>
    <row r="6718" spans="4:4" x14ac:dyDescent="0.25">
      <c r="D6718" s="102"/>
    </row>
    <row r="6719" spans="4:4" x14ac:dyDescent="0.25">
      <c r="D6719" s="102"/>
    </row>
    <row r="6720" spans="4:4" x14ac:dyDescent="0.25">
      <c r="D6720" s="102"/>
    </row>
    <row r="6721" spans="4:4" x14ac:dyDescent="0.25">
      <c r="D6721" s="102"/>
    </row>
    <row r="6722" spans="4:4" x14ac:dyDescent="0.25">
      <c r="D6722" s="102"/>
    </row>
    <row r="6723" spans="4:4" x14ac:dyDescent="0.25">
      <c r="D6723" s="102"/>
    </row>
    <row r="6724" spans="4:4" x14ac:dyDescent="0.25">
      <c r="D6724" s="102"/>
    </row>
    <row r="6725" spans="4:4" x14ac:dyDescent="0.25">
      <c r="D6725" s="102"/>
    </row>
    <row r="6726" spans="4:4" x14ac:dyDescent="0.25">
      <c r="D6726" s="102"/>
    </row>
    <row r="6727" spans="4:4" x14ac:dyDescent="0.25">
      <c r="D6727" s="102"/>
    </row>
    <row r="6728" spans="4:4" x14ac:dyDescent="0.25">
      <c r="D6728" s="102"/>
    </row>
    <row r="6729" spans="4:4" x14ac:dyDescent="0.25">
      <c r="D6729" s="102"/>
    </row>
    <row r="6730" spans="4:4" x14ac:dyDescent="0.25">
      <c r="D6730" s="102"/>
    </row>
    <row r="6731" spans="4:4" x14ac:dyDescent="0.25">
      <c r="D6731" s="102"/>
    </row>
    <row r="6732" spans="4:4" x14ac:dyDescent="0.25">
      <c r="D6732" s="102"/>
    </row>
    <row r="6733" spans="4:4" x14ac:dyDescent="0.25">
      <c r="D6733" s="102"/>
    </row>
    <row r="6734" spans="4:4" x14ac:dyDescent="0.25">
      <c r="D6734" s="102"/>
    </row>
    <row r="6735" spans="4:4" x14ac:dyDescent="0.25">
      <c r="D6735" s="102"/>
    </row>
    <row r="6736" spans="4:4" x14ac:dyDescent="0.25">
      <c r="D6736" s="102"/>
    </row>
    <row r="6737" spans="4:4" x14ac:dyDescent="0.25">
      <c r="D6737" s="102"/>
    </row>
    <row r="6738" spans="4:4" x14ac:dyDescent="0.25">
      <c r="D6738" s="102"/>
    </row>
    <row r="6739" spans="4:4" x14ac:dyDescent="0.25">
      <c r="D6739" s="102"/>
    </row>
    <row r="6740" spans="4:4" x14ac:dyDescent="0.25">
      <c r="D6740" s="102"/>
    </row>
    <row r="6741" spans="4:4" x14ac:dyDescent="0.25">
      <c r="D6741" s="102"/>
    </row>
    <row r="6742" spans="4:4" x14ac:dyDescent="0.25">
      <c r="D6742" s="102"/>
    </row>
    <row r="6743" spans="4:4" x14ac:dyDescent="0.25">
      <c r="D6743" s="102"/>
    </row>
    <row r="6744" spans="4:4" x14ac:dyDescent="0.25">
      <c r="D6744" s="102"/>
    </row>
    <row r="6745" spans="4:4" x14ac:dyDescent="0.25">
      <c r="D6745" s="102"/>
    </row>
    <row r="6746" spans="4:4" x14ac:dyDescent="0.25">
      <c r="D6746" s="102"/>
    </row>
    <row r="6747" spans="4:4" x14ac:dyDescent="0.25">
      <c r="D6747" s="102"/>
    </row>
    <row r="6748" spans="4:4" x14ac:dyDescent="0.25">
      <c r="D6748" s="102"/>
    </row>
    <row r="6749" spans="4:4" x14ac:dyDescent="0.25">
      <c r="D6749" s="102"/>
    </row>
    <row r="6750" spans="4:4" x14ac:dyDescent="0.25">
      <c r="D6750" s="102"/>
    </row>
    <row r="6751" spans="4:4" x14ac:dyDescent="0.25">
      <c r="D6751" s="102"/>
    </row>
    <row r="6752" spans="4:4" x14ac:dyDescent="0.25">
      <c r="D6752" s="102"/>
    </row>
    <row r="6753" spans="4:4" x14ac:dyDescent="0.25">
      <c r="D6753" s="102"/>
    </row>
    <row r="6754" spans="4:4" x14ac:dyDescent="0.25">
      <c r="D6754" s="102"/>
    </row>
    <row r="6755" spans="4:4" x14ac:dyDescent="0.25">
      <c r="D6755" s="102"/>
    </row>
    <row r="6756" spans="4:4" x14ac:dyDescent="0.25">
      <c r="D6756" s="102"/>
    </row>
    <row r="6757" spans="4:4" x14ac:dyDescent="0.25">
      <c r="D6757" s="102"/>
    </row>
    <row r="6758" spans="4:4" x14ac:dyDescent="0.25">
      <c r="D6758" s="102"/>
    </row>
    <row r="6759" spans="4:4" x14ac:dyDescent="0.25">
      <c r="D6759" s="102"/>
    </row>
    <row r="6760" spans="4:4" x14ac:dyDescent="0.25">
      <c r="D6760" s="102"/>
    </row>
    <row r="6761" spans="4:4" x14ac:dyDescent="0.25">
      <c r="D6761" s="102"/>
    </row>
    <row r="6762" spans="4:4" x14ac:dyDescent="0.25">
      <c r="D6762" s="102"/>
    </row>
    <row r="6763" spans="4:4" x14ac:dyDescent="0.25">
      <c r="D6763" s="102"/>
    </row>
    <row r="6764" spans="4:4" x14ac:dyDescent="0.25">
      <c r="D6764" s="102"/>
    </row>
    <row r="6765" spans="4:4" x14ac:dyDescent="0.25">
      <c r="D6765" s="102"/>
    </row>
    <row r="6766" spans="4:4" x14ac:dyDescent="0.25">
      <c r="D6766" s="102"/>
    </row>
    <row r="6767" spans="4:4" x14ac:dyDescent="0.25">
      <c r="D6767" s="102"/>
    </row>
    <row r="6768" spans="4:4" x14ac:dyDescent="0.25">
      <c r="D6768" s="102"/>
    </row>
    <row r="6769" spans="4:4" x14ac:dyDescent="0.25">
      <c r="D6769" s="102"/>
    </row>
    <row r="6770" spans="4:4" x14ac:dyDescent="0.25">
      <c r="D6770" s="102"/>
    </row>
    <row r="6771" spans="4:4" x14ac:dyDescent="0.25">
      <c r="D6771" s="102"/>
    </row>
    <row r="6772" spans="4:4" x14ac:dyDescent="0.25">
      <c r="D6772" s="102"/>
    </row>
    <row r="6773" spans="4:4" x14ac:dyDescent="0.25">
      <c r="D6773" s="102"/>
    </row>
    <row r="6774" spans="4:4" x14ac:dyDescent="0.25">
      <c r="D6774" s="102"/>
    </row>
    <row r="6775" spans="4:4" x14ac:dyDescent="0.25">
      <c r="D6775" s="102"/>
    </row>
    <row r="6776" spans="4:4" x14ac:dyDescent="0.25">
      <c r="D6776" s="102"/>
    </row>
    <row r="6777" spans="4:4" x14ac:dyDescent="0.25">
      <c r="D6777" s="102"/>
    </row>
    <row r="6778" spans="4:4" x14ac:dyDescent="0.25">
      <c r="D6778" s="102"/>
    </row>
    <row r="6779" spans="4:4" x14ac:dyDescent="0.25">
      <c r="D6779" s="102"/>
    </row>
    <row r="6780" spans="4:4" x14ac:dyDescent="0.25">
      <c r="D6780" s="102"/>
    </row>
    <row r="6781" spans="4:4" x14ac:dyDescent="0.25">
      <c r="D6781" s="102"/>
    </row>
    <row r="6782" spans="4:4" x14ac:dyDescent="0.25">
      <c r="D6782" s="102"/>
    </row>
    <row r="6783" spans="4:4" x14ac:dyDescent="0.25">
      <c r="D6783" s="102"/>
    </row>
    <row r="6784" spans="4:4" x14ac:dyDescent="0.25">
      <c r="D6784" s="102"/>
    </row>
    <row r="6785" spans="4:4" x14ac:dyDescent="0.25">
      <c r="D6785" s="102"/>
    </row>
    <row r="6786" spans="4:4" x14ac:dyDescent="0.25">
      <c r="D6786" s="102"/>
    </row>
    <row r="6787" spans="4:4" x14ac:dyDescent="0.25">
      <c r="D6787" s="102"/>
    </row>
    <row r="6788" spans="4:4" x14ac:dyDescent="0.25">
      <c r="D6788" s="102"/>
    </row>
    <row r="6789" spans="4:4" x14ac:dyDescent="0.25">
      <c r="D6789" s="102"/>
    </row>
    <row r="6790" spans="4:4" x14ac:dyDescent="0.25">
      <c r="D6790" s="102"/>
    </row>
    <row r="6791" spans="4:4" x14ac:dyDescent="0.25">
      <c r="D6791" s="102"/>
    </row>
    <row r="6792" spans="4:4" x14ac:dyDescent="0.25">
      <c r="D6792" s="102"/>
    </row>
    <row r="6793" spans="4:4" x14ac:dyDescent="0.25">
      <c r="D6793" s="102"/>
    </row>
    <row r="6794" spans="4:4" x14ac:dyDescent="0.25">
      <c r="D6794" s="102"/>
    </row>
    <row r="6795" spans="4:4" x14ac:dyDescent="0.25">
      <c r="D6795" s="102"/>
    </row>
    <row r="6796" spans="4:4" x14ac:dyDescent="0.25">
      <c r="D6796" s="102"/>
    </row>
    <row r="6797" spans="4:4" x14ac:dyDescent="0.25">
      <c r="D6797" s="102"/>
    </row>
    <row r="6798" spans="4:4" x14ac:dyDescent="0.25">
      <c r="D6798" s="102"/>
    </row>
    <row r="6799" spans="4:4" x14ac:dyDescent="0.25">
      <c r="D6799" s="102"/>
    </row>
    <row r="6800" spans="4:4" x14ac:dyDescent="0.25">
      <c r="D6800" s="102"/>
    </row>
    <row r="6801" spans="4:4" x14ac:dyDescent="0.25">
      <c r="D6801" s="102"/>
    </row>
    <row r="6802" spans="4:4" x14ac:dyDescent="0.25">
      <c r="D6802" s="102"/>
    </row>
    <row r="6803" spans="4:4" x14ac:dyDescent="0.25">
      <c r="D6803" s="102"/>
    </row>
    <row r="6804" spans="4:4" x14ac:dyDescent="0.25">
      <c r="D6804" s="102"/>
    </row>
    <row r="6805" spans="4:4" x14ac:dyDescent="0.25">
      <c r="D6805" s="102"/>
    </row>
    <row r="6806" spans="4:4" x14ac:dyDescent="0.25">
      <c r="D6806" s="102"/>
    </row>
    <row r="6807" spans="4:4" x14ac:dyDescent="0.25">
      <c r="D6807" s="102"/>
    </row>
    <row r="6808" spans="4:4" x14ac:dyDescent="0.25">
      <c r="D6808" s="102"/>
    </row>
    <row r="6809" spans="4:4" x14ac:dyDescent="0.25">
      <c r="D6809" s="102"/>
    </row>
    <row r="6810" spans="4:4" x14ac:dyDescent="0.25">
      <c r="D6810" s="102"/>
    </row>
    <row r="6811" spans="4:4" x14ac:dyDescent="0.25">
      <c r="D6811" s="102"/>
    </row>
    <row r="6812" spans="4:4" x14ac:dyDescent="0.25">
      <c r="D6812" s="102"/>
    </row>
    <row r="6813" spans="4:4" x14ac:dyDescent="0.25">
      <c r="D6813" s="102"/>
    </row>
    <row r="6814" spans="4:4" x14ac:dyDescent="0.25">
      <c r="D6814" s="102"/>
    </row>
    <row r="6815" spans="4:4" x14ac:dyDescent="0.25">
      <c r="D6815" s="102"/>
    </row>
    <row r="6816" spans="4:4" x14ac:dyDescent="0.25">
      <c r="D6816" s="102"/>
    </row>
    <row r="6817" spans="4:4" x14ac:dyDescent="0.25">
      <c r="D6817" s="102"/>
    </row>
    <row r="6818" spans="4:4" x14ac:dyDescent="0.25">
      <c r="D6818" s="102"/>
    </row>
    <row r="6819" spans="4:4" x14ac:dyDescent="0.25">
      <c r="D6819" s="102"/>
    </row>
    <row r="6820" spans="4:4" x14ac:dyDescent="0.25">
      <c r="D6820" s="102"/>
    </row>
    <row r="6821" spans="4:4" x14ac:dyDescent="0.25">
      <c r="D6821" s="102"/>
    </row>
    <row r="6822" spans="4:4" x14ac:dyDescent="0.25">
      <c r="D6822" s="102"/>
    </row>
    <row r="6823" spans="4:4" x14ac:dyDescent="0.25">
      <c r="D6823" s="102"/>
    </row>
    <row r="6824" spans="4:4" x14ac:dyDescent="0.25">
      <c r="D6824" s="102"/>
    </row>
    <row r="6825" spans="4:4" x14ac:dyDescent="0.25">
      <c r="D6825" s="102"/>
    </row>
    <row r="6826" spans="4:4" x14ac:dyDescent="0.25">
      <c r="D6826" s="102"/>
    </row>
    <row r="6827" spans="4:4" x14ac:dyDescent="0.25">
      <c r="D6827" s="102"/>
    </row>
    <row r="6828" spans="4:4" x14ac:dyDescent="0.25">
      <c r="D6828" s="102"/>
    </row>
    <row r="6829" spans="4:4" x14ac:dyDescent="0.25">
      <c r="D6829" s="102"/>
    </row>
    <row r="6830" spans="4:4" x14ac:dyDescent="0.25">
      <c r="D6830" s="102"/>
    </row>
    <row r="6831" spans="4:4" x14ac:dyDescent="0.25">
      <c r="D6831" s="102"/>
    </row>
    <row r="6832" spans="4:4" x14ac:dyDescent="0.25">
      <c r="D6832" s="102"/>
    </row>
    <row r="6833" spans="4:4" x14ac:dyDescent="0.25">
      <c r="D6833" s="102"/>
    </row>
    <row r="6834" spans="4:4" x14ac:dyDescent="0.25">
      <c r="D6834" s="102"/>
    </row>
    <row r="6835" spans="4:4" x14ac:dyDescent="0.25">
      <c r="D6835" s="102"/>
    </row>
    <row r="6836" spans="4:4" x14ac:dyDescent="0.25">
      <c r="D6836" s="102"/>
    </row>
    <row r="6837" spans="4:4" x14ac:dyDescent="0.25">
      <c r="D6837" s="102"/>
    </row>
    <row r="6838" spans="4:4" x14ac:dyDescent="0.25">
      <c r="D6838" s="102"/>
    </row>
    <row r="6839" spans="4:4" x14ac:dyDescent="0.25">
      <c r="D6839" s="102"/>
    </row>
    <row r="6840" spans="4:4" x14ac:dyDescent="0.25">
      <c r="D6840" s="102"/>
    </row>
    <row r="6841" spans="4:4" x14ac:dyDescent="0.25">
      <c r="D6841" s="102"/>
    </row>
    <row r="6842" spans="4:4" x14ac:dyDescent="0.25">
      <c r="D6842" s="102"/>
    </row>
    <row r="6843" spans="4:4" x14ac:dyDescent="0.25">
      <c r="D6843" s="102"/>
    </row>
    <row r="6844" spans="4:4" x14ac:dyDescent="0.25">
      <c r="D6844" s="102"/>
    </row>
    <row r="6845" spans="4:4" x14ac:dyDescent="0.25">
      <c r="D6845" s="102"/>
    </row>
    <row r="6846" spans="4:4" x14ac:dyDescent="0.25">
      <c r="D6846" s="102"/>
    </row>
    <row r="6847" spans="4:4" x14ac:dyDescent="0.25">
      <c r="D6847" s="102"/>
    </row>
    <row r="6848" spans="4:4" x14ac:dyDescent="0.25">
      <c r="D6848" s="102"/>
    </row>
    <row r="6849" spans="4:4" x14ac:dyDescent="0.25">
      <c r="D6849" s="102"/>
    </row>
    <row r="6850" spans="4:4" x14ac:dyDescent="0.25">
      <c r="D6850" s="102"/>
    </row>
    <row r="6851" spans="4:4" x14ac:dyDescent="0.25">
      <c r="D6851" s="102"/>
    </row>
    <row r="6852" spans="4:4" x14ac:dyDescent="0.25">
      <c r="D6852" s="102"/>
    </row>
    <row r="6853" spans="4:4" x14ac:dyDescent="0.25">
      <c r="D6853" s="102"/>
    </row>
    <row r="6854" spans="4:4" x14ac:dyDescent="0.25">
      <c r="D6854" s="102"/>
    </row>
    <row r="6855" spans="4:4" x14ac:dyDescent="0.25">
      <c r="D6855" s="102"/>
    </row>
    <row r="6856" spans="4:4" x14ac:dyDescent="0.25">
      <c r="D6856" s="102"/>
    </row>
    <row r="6857" spans="4:4" x14ac:dyDescent="0.25">
      <c r="D6857" s="102"/>
    </row>
    <row r="6858" spans="4:4" x14ac:dyDescent="0.25">
      <c r="D6858" s="102"/>
    </row>
    <row r="6859" spans="4:4" x14ac:dyDescent="0.25">
      <c r="D6859" s="102"/>
    </row>
    <row r="6860" spans="4:4" x14ac:dyDescent="0.25">
      <c r="D6860" s="102"/>
    </row>
    <row r="6861" spans="4:4" x14ac:dyDescent="0.25">
      <c r="D6861" s="102"/>
    </row>
    <row r="6862" spans="4:4" x14ac:dyDescent="0.25">
      <c r="D6862" s="102"/>
    </row>
    <row r="6863" spans="4:4" x14ac:dyDescent="0.25">
      <c r="D6863" s="102"/>
    </row>
    <row r="6864" spans="4:4" x14ac:dyDescent="0.25">
      <c r="D6864" s="102"/>
    </row>
    <row r="6865" spans="4:4" x14ac:dyDescent="0.25">
      <c r="D6865" s="102"/>
    </row>
    <row r="6866" spans="4:4" x14ac:dyDescent="0.25">
      <c r="D6866" s="102"/>
    </row>
    <row r="6867" spans="4:4" x14ac:dyDescent="0.25">
      <c r="D6867" s="102"/>
    </row>
    <row r="6868" spans="4:4" x14ac:dyDescent="0.25">
      <c r="D6868" s="102"/>
    </row>
    <row r="6869" spans="4:4" x14ac:dyDescent="0.25">
      <c r="D6869" s="102"/>
    </row>
    <row r="6870" spans="4:4" x14ac:dyDescent="0.25">
      <c r="D6870" s="102"/>
    </row>
    <row r="6871" spans="4:4" x14ac:dyDescent="0.25">
      <c r="D6871" s="102"/>
    </row>
    <row r="6872" spans="4:4" x14ac:dyDescent="0.25">
      <c r="D6872" s="102"/>
    </row>
    <row r="6873" spans="4:4" x14ac:dyDescent="0.25">
      <c r="D6873" s="102"/>
    </row>
    <row r="6874" spans="4:4" x14ac:dyDescent="0.25">
      <c r="D6874" s="102"/>
    </row>
    <row r="6875" spans="4:4" x14ac:dyDescent="0.25">
      <c r="D6875" s="102"/>
    </row>
    <row r="6876" spans="4:4" x14ac:dyDescent="0.25">
      <c r="D6876" s="102"/>
    </row>
    <row r="6877" spans="4:4" x14ac:dyDescent="0.25">
      <c r="D6877" s="102"/>
    </row>
    <row r="6878" spans="4:4" x14ac:dyDescent="0.25">
      <c r="D6878" s="102"/>
    </row>
    <row r="6879" spans="4:4" x14ac:dyDescent="0.25">
      <c r="D6879" s="102"/>
    </row>
    <row r="6880" spans="4:4" x14ac:dyDescent="0.25">
      <c r="D6880" s="102"/>
    </row>
    <row r="6881" spans="4:4" x14ac:dyDescent="0.25">
      <c r="D6881" s="102"/>
    </row>
    <row r="6882" spans="4:4" x14ac:dyDescent="0.25">
      <c r="D6882" s="102"/>
    </row>
    <row r="6883" spans="4:4" x14ac:dyDescent="0.25">
      <c r="D6883" s="102"/>
    </row>
    <row r="6884" spans="4:4" x14ac:dyDescent="0.25">
      <c r="D6884" s="102"/>
    </row>
    <row r="6885" spans="4:4" x14ac:dyDescent="0.25">
      <c r="D6885" s="102"/>
    </row>
    <row r="6886" spans="4:4" x14ac:dyDescent="0.25">
      <c r="D6886" s="102"/>
    </row>
    <row r="6887" spans="4:4" x14ac:dyDescent="0.25">
      <c r="D6887" s="102"/>
    </row>
    <row r="6888" spans="4:4" x14ac:dyDescent="0.25">
      <c r="D6888" s="102"/>
    </row>
    <row r="6889" spans="4:4" x14ac:dyDescent="0.25">
      <c r="D6889" s="102"/>
    </row>
    <row r="6890" spans="4:4" x14ac:dyDescent="0.25">
      <c r="D6890" s="102"/>
    </row>
    <row r="6891" spans="4:4" x14ac:dyDescent="0.25">
      <c r="D6891" s="102"/>
    </row>
    <row r="6892" spans="4:4" x14ac:dyDescent="0.25">
      <c r="D6892" s="102"/>
    </row>
    <row r="6893" spans="4:4" x14ac:dyDescent="0.25">
      <c r="D6893" s="102"/>
    </row>
    <row r="6894" spans="4:4" x14ac:dyDescent="0.25">
      <c r="D6894" s="102"/>
    </row>
    <row r="6895" spans="4:4" x14ac:dyDescent="0.25">
      <c r="D6895" s="102"/>
    </row>
    <row r="6896" spans="4:4" x14ac:dyDescent="0.25">
      <c r="D6896" s="102"/>
    </row>
    <row r="6897" spans="4:4" x14ac:dyDescent="0.25">
      <c r="D6897" s="102"/>
    </row>
    <row r="6898" spans="4:4" x14ac:dyDescent="0.25">
      <c r="D6898" s="102"/>
    </row>
    <row r="6899" spans="4:4" x14ac:dyDescent="0.25">
      <c r="D6899" s="102"/>
    </row>
    <row r="6900" spans="4:4" x14ac:dyDescent="0.25">
      <c r="D6900" s="102"/>
    </row>
    <row r="6901" spans="4:4" x14ac:dyDescent="0.25">
      <c r="D6901" s="102"/>
    </row>
    <row r="6902" spans="4:4" x14ac:dyDescent="0.25">
      <c r="D6902" s="102"/>
    </row>
    <row r="6903" spans="4:4" x14ac:dyDescent="0.25">
      <c r="D6903" s="102"/>
    </row>
    <row r="6904" spans="4:4" x14ac:dyDescent="0.25">
      <c r="D6904" s="102"/>
    </row>
    <row r="6905" spans="4:4" x14ac:dyDescent="0.25">
      <c r="D6905" s="102"/>
    </row>
    <row r="6906" spans="4:4" x14ac:dyDescent="0.25">
      <c r="D6906" s="102"/>
    </row>
    <row r="6907" spans="4:4" x14ac:dyDescent="0.25">
      <c r="D6907" s="102"/>
    </row>
    <row r="6908" spans="4:4" x14ac:dyDescent="0.25">
      <c r="D6908" s="102"/>
    </row>
    <row r="6909" spans="4:4" x14ac:dyDescent="0.25">
      <c r="D6909" s="102"/>
    </row>
    <row r="6910" spans="4:4" x14ac:dyDescent="0.25">
      <c r="D6910" s="102"/>
    </row>
    <row r="6911" spans="4:4" x14ac:dyDescent="0.25">
      <c r="D6911" s="102"/>
    </row>
    <row r="6912" spans="4:4" x14ac:dyDescent="0.25">
      <c r="D6912" s="102"/>
    </row>
    <row r="6913" spans="4:4" x14ac:dyDescent="0.25">
      <c r="D6913" s="102"/>
    </row>
    <row r="6914" spans="4:4" x14ac:dyDescent="0.25">
      <c r="D6914" s="102"/>
    </row>
    <row r="6915" spans="4:4" x14ac:dyDescent="0.25">
      <c r="D6915" s="102"/>
    </row>
    <row r="6916" spans="4:4" x14ac:dyDescent="0.25">
      <c r="D6916" s="102"/>
    </row>
    <row r="6917" spans="4:4" x14ac:dyDescent="0.25">
      <c r="D6917" s="102"/>
    </row>
    <row r="6918" spans="4:4" x14ac:dyDescent="0.25">
      <c r="D6918" s="102"/>
    </row>
    <row r="6919" spans="4:4" x14ac:dyDescent="0.25">
      <c r="D6919" s="102"/>
    </row>
    <row r="6920" spans="4:4" x14ac:dyDescent="0.25">
      <c r="D6920" s="102"/>
    </row>
    <row r="6921" spans="4:4" x14ac:dyDescent="0.25">
      <c r="D6921" s="102"/>
    </row>
    <row r="6922" spans="4:4" x14ac:dyDescent="0.25">
      <c r="D6922" s="102"/>
    </row>
    <row r="6923" spans="4:4" x14ac:dyDescent="0.25">
      <c r="D6923" s="102"/>
    </row>
    <row r="6924" spans="4:4" x14ac:dyDescent="0.25">
      <c r="D6924" s="102"/>
    </row>
    <row r="6925" spans="4:4" x14ac:dyDescent="0.25">
      <c r="D6925" s="102"/>
    </row>
    <row r="6926" spans="4:4" x14ac:dyDescent="0.25">
      <c r="D6926" s="102"/>
    </row>
    <row r="6927" spans="4:4" x14ac:dyDescent="0.25">
      <c r="D6927" s="102"/>
    </row>
    <row r="6928" spans="4:4" x14ac:dyDescent="0.25">
      <c r="D6928" s="102"/>
    </row>
    <row r="6929" spans="4:4" x14ac:dyDescent="0.25">
      <c r="D6929" s="102"/>
    </row>
    <row r="6930" spans="4:4" x14ac:dyDescent="0.25">
      <c r="D6930" s="102"/>
    </row>
    <row r="6931" spans="4:4" x14ac:dyDescent="0.25">
      <c r="D6931" s="102"/>
    </row>
    <row r="6932" spans="4:4" x14ac:dyDescent="0.25">
      <c r="D6932" s="102"/>
    </row>
    <row r="6933" spans="4:4" x14ac:dyDescent="0.25">
      <c r="D6933" s="102"/>
    </row>
    <row r="6934" spans="4:4" x14ac:dyDescent="0.25">
      <c r="D6934" s="102"/>
    </row>
    <row r="6935" spans="4:4" x14ac:dyDescent="0.25">
      <c r="D6935" s="102"/>
    </row>
    <row r="6936" spans="4:4" x14ac:dyDescent="0.25">
      <c r="D6936" s="102"/>
    </row>
    <row r="6937" spans="4:4" x14ac:dyDescent="0.25">
      <c r="D6937" s="102"/>
    </row>
    <row r="6938" spans="4:4" x14ac:dyDescent="0.25">
      <c r="D6938" s="102"/>
    </row>
    <row r="6939" spans="4:4" x14ac:dyDescent="0.25">
      <c r="D6939" s="102"/>
    </row>
    <row r="6940" spans="4:4" x14ac:dyDescent="0.25">
      <c r="D6940" s="102"/>
    </row>
    <row r="6941" spans="4:4" x14ac:dyDescent="0.25">
      <c r="D6941" s="102"/>
    </row>
    <row r="6942" spans="4:4" x14ac:dyDescent="0.25">
      <c r="D6942" s="102"/>
    </row>
    <row r="6943" spans="4:4" x14ac:dyDescent="0.25">
      <c r="D6943" s="102"/>
    </row>
    <row r="6944" spans="4:4" x14ac:dyDescent="0.25">
      <c r="D6944" s="102"/>
    </row>
    <row r="6945" spans="4:4" x14ac:dyDescent="0.25">
      <c r="D6945" s="102"/>
    </row>
    <row r="6946" spans="4:4" x14ac:dyDescent="0.25">
      <c r="D6946" s="102"/>
    </row>
    <row r="6947" spans="4:4" x14ac:dyDescent="0.25">
      <c r="D6947" s="102"/>
    </row>
    <row r="6948" spans="4:4" x14ac:dyDescent="0.25">
      <c r="D6948" s="102"/>
    </row>
    <row r="6949" spans="4:4" x14ac:dyDescent="0.25">
      <c r="D6949" s="102"/>
    </row>
    <row r="6950" spans="4:4" x14ac:dyDescent="0.25">
      <c r="D6950" s="102"/>
    </row>
    <row r="6951" spans="4:4" x14ac:dyDescent="0.25">
      <c r="D6951" s="102"/>
    </row>
    <row r="6952" spans="4:4" x14ac:dyDescent="0.25">
      <c r="D6952" s="102"/>
    </row>
    <row r="6953" spans="4:4" x14ac:dyDescent="0.25">
      <c r="D6953" s="102"/>
    </row>
    <row r="6954" spans="4:4" x14ac:dyDescent="0.25">
      <c r="D6954" s="102"/>
    </row>
    <row r="6955" spans="4:4" x14ac:dyDescent="0.25">
      <c r="D6955" s="102"/>
    </row>
    <row r="6956" spans="4:4" x14ac:dyDescent="0.25">
      <c r="D6956" s="102"/>
    </row>
    <row r="6957" spans="4:4" x14ac:dyDescent="0.25">
      <c r="D6957" s="102"/>
    </row>
    <row r="6958" spans="4:4" x14ac:dyDescent="0.25">
      <c r="D6958" s="102"/>
    </row>
    <row r="6959" spans="4:4" x14ac:dyDescent="0.25">
      <c r="D6959" s="102"/>
    </row>
    <row r="6960" spans="4:4" x14ac:dyDescent="0.25">
      <c r="D6960" s="102"/>
    </row>
    <row r="6961" spans="4:4" x14ac:dyDescent="0.25">
      <c r="D6961" s="102"/>
    </row>
    <row r="6962" spans="4:4" x14ac:dyDescent="0.25">
      <c r="D6962" s="102"/>
    </row>
    <row r="6963" spans="4:4" x14ac:dyDescent="0.25">
      <c r="D6963" s="102"/>
    </row>
    <row r="6964" spans="4:4" x14ac:dyDescent="0.25">
      <c r="D6964" s="102"/>
    </row>
    <row r="6965" spans="4:4" x14ac:dyDescent="0.25">
      <c r="D6965" s="102"/>
    </row>
    <row r="6966" spans="4:4" x14ac:dyDescent="0.25">
      <c r="D6966" s="102"/>
    </row>
    <row r="6967" spans="4:4" x14ac:dyDescent="0.25">
      <c r="D6967" s="102"/>
    </row>
    <row r="6968" spans="4:4" x14ac:dyDescent="0.25">
      <c r="D6968" s="102"/>
    </row>
    <row r="6969" spans="4:4" x14ac:dyDescent="0.25">
      <c r="D6969" s="102"/>
    </row>
    <row r="6970" spans="4:4" x14ac:dyDescent="0.25">
      <c r="D6970" s="102"/>
    </row>
    <row r="6971" spans="4:4" x14ac:dyDescent="0.25">
      <c r="D6971" s="102"/>
    </row>
    <row r="6972" spans="4:4" x14ac:dyDescent="0.25">
      <c r="D6972" s="102"/>
    </row>
    <row r="6973" spans="4:4" x14ac:dyDescent="0.25">
      <c r="D6973" s="102"/>
    </row>
    <row r="6974" spans="4:4" x14ac:dyDescent="0.25">
      <c r="D6974" s="102"/>
    </row>
    <row r="6975" spans="4:4" x14ac:dyDescent="0.25">
      <c r="D6975" s="102"/>
    </row>
    <row r="6976" spans="4:4" x14ac:dyDescent="0.25">
      <c r="D6976" s="102"/>
    </row>
    <row r="6977" spans="4:4" x14ac:dyDescent="0.25">
      <c r="D6977" s="102"/>
    </row>
    <row r="6978" spans="4:4" x14ac:dyDescent="0.25">
      <c r="D6978" s="102"/>
    </row>
    <row r="6979" spans="4:4" x14ac:dyDescent="0.25">
      <c r="D6979" s="102"/>
    </row>
    <row r="6980" spans="4:4" x14ac:dyDescent="0.25">
      <c r="D6980" s="102"/>
    </row>
    <row r="6981" spans="4:4" x14ac:dyDescent="0.25">
      <c r="D6981" s="102"/>
    </row>
    <row r="6982" spans="4:4" x14ac:dyDescent="0.25">
      <c r="D6982" s="102"/>
    </row>
    <row r="6983" spans="4:4" x14ac:dyDescent="0.25">
      <c r="D6983" s="102"/>
    </row>
    <row r="6984" spans="4:4" x14ac:dyDescent="0.25">
      <c r="D6984" s="102"/>
    </row>
    <row r="6985" spans="4:4" x14ac:dyDescent="0.25">
      <c r="D6985" s="102"/>
    </row>
    <row r="6986" spans="4:4" x14ac:dyDescent="0.25">
      <c r="D6986" s="102"/>
    </row>
    <row r="6987" spans="4:4" x14ac:dyDescent="0.25">
      <c r="D6987" s="102"/>
    </row>
    <row r="6988" spans="4:4" x14ac:dyDescent="0.25">
      <c r="D6988" s="102"/>
    </row>
    <row r="6989" spans="4:4" x14ac:dyDescent="0.25">
      <c r="D6989" s="102"/>
    </row>
    <row r="6990" spans="4:4" x14ac:dyDescent="0.25">
      <c r="D6990" s="102"/>
    </row>
    <row r="6991" spans="4:4" x14ac:dyDescent="0.25">
      <c r="D6991" s="102"/>
    </row>
    <row r="6992" spans="4:4" x14ac:dyDescent="0.25">
      <c r="D6992" s="102"/>
    </row>
    <row r="6993" spans="4:4" x14ac:dyDescent="0.25">
      <c r="D6993" s="102"/>
    </row>
    <row r="6994" spans="4:4" x14ac:dyDescent="0.25">
      <c r="D6994" s="102"/>
    </row>
    <row r="6995" spans="4:4" x14ac:dyDescent="0.25">
      <c r="D6995" s="102"/>
    </row>
    <row r="6996" spans="4:4" x14ac:dyDescent="0.25">
      <c r="D6996" s="102"/>
    </row>
    <row r="6997" spans="4:4" x14ac:dyDescent="0.25">
      <c r="D6997" s="102"/>
    </row>
    <row r="6998" spans="4:4" x14ac:dyDescent="0.25">
      <c r="D6998" s="102"/>
    </row>
    <row r="6999" spans="4:4" x14ac:dyDescent="0.25">
      <c r="D6999" s="102"/>
    </row>
    <row r="7000" spans="4:4" x14ac:dyDescent="0.25">
      <c r="D7000" s="102"/>
    </row>
    <row r="7001" spans="4:4" x14ac:dyDescent="0.25">
      <c r="D7001" s="102"/>
    </row>
    <row r="7002" spans="4:4" x14ac:dyDescent="0.25">
      <c r="D7002" s="102"/>
    </row>
    <row r="7003" spans="4:4" x14ac:dyDescent="0.25">
      <c r="D7003" s="102"/>
    </row>
    <row r="7004" spans="4:4" x14ac:dyDescent="0.25">
      <c r="D7004" s="102"/>
    </row>
    <row r="7005" spans="4:4" x14ac:dyDescent="0.25">
      <c r="D7005" s="102"/>
    </row>
    <row r="7006" spans="4:4" x14ac:dyDescent="0.25">
      <c r="D7006" s="102"/>
    </row>
    <row r="7007" spans="4:4" x14ac:dyDescent="0.25">
      <c r="D7007" s="102"/>
    </row>
    <row r="7008" spans="4:4" x14ac:dyDescent="0.25">
      <c r="D7008" s="102"/>
    </row>
    <row r="7009" spans="4:4" x14ac:dyDescent="0.25">
      <c r="D7009" s="102"/>
    </row>
    <row r="7010" spans="4:4" x14ac:dyDescent="0.25">
      <c r="D7010" s="102"/>
    </row>
    <row r="7011" spans="4:4" x14ac:dyDescent="0.25">
      <c r="D7011" s="102"/>
    </row>
    <row r="7012" spans="4:4" x14ac:dyDescent="0.25">
      <c r="D7012" s="102"/>
    </row>
    <row r="7013" spans="4:4" x14ac:dyDescent="0.25">
      <c r="D7013" s="102"/>
    </row>
    <row r="7014" spans="4:4" x14ac:dyDescent="0.25">
      <c r="D7014" s="102"/>
    </row>
    <row r="7015" spans="4:4" x14ac:dyDescent="0.25">
      <c r="D7015" s="102"/>
    </row>
    <row r="7016" spans="4:4" x14ac:dyDescent="0.25">
      <c r="D7016" s="102"/>
    </row>
    <row r="7017" spans="4:4" x14ac:dyDescent="0.25">
      <c r="D7017" s="102"/>
    </row>
    <row r="7018" spans="4:4" x14ac:dyDescent="0.25">
      <c r="D7018" s="102"/>
    </row>
    <row r="7019" spans="4:4" x14ac:dyDescent="0.25">
      <c r="D7019" s="102"/>
    </row>
    <row r="7020" spans="4:4" x14ac:dyDescent="0.25">
      <c r="D7020" s="102"/>
    </row>
    <row r="7021" spans="4:4" x14ac:dyDescent="0.25">
      <c r="D7021" s="102"/>
    </row>
    <row r="7022" spans="4:4" x14ac:dyDescent="0.25">
      <c r="D7022" s="102"/>
    </row>
    <row r="7023" spans="4:4" x14ac:dyDescent="0.25">
      <c r="D7023" s="102"/>
    </row>
    <row r="7024" spans="4:4" x14ac:dyDescent="0.25">
      <c r="D7024" s="102"/>
    </row>
    <row r="7025" spans="4:4" x14ac:dyDescent="0.25">
      <c r="D7025" s="102"/>
    </row>
    <row r="7026" spans="4:4" x14ac:dyDescent="0.25">
      <c r="D7026" s="102"/>
    </row>
    <row r="7027" spans="4:4" x14ac:dyDescent="0.25">
      <c r="D7027" s="102"/>
    </row>
    <row r="7028" spans="4:4" x14ac:dyDescent="0.25">
      <c r="D7028" s="102"/>
    </row>
    <row r="7029" spans="4:4" x14ac:dyDescent="0.25">
      <c r="D7029" s="102"/>
    </row>
    <row r="7030" spans="4:4" x14ac:dyDescent="0.25">
      <c r="D7030" s="102"/>
    </row>
    <row r="7031" spans="4:4" x14ac:dyDescent="0.25">
      <c r="D7031" s="102"/>
    </row>
    <row r="7032" spans="4:4" x14ac:dyDescent="0.25">
      <c r="D7032" s="102"/>
    </row>
    <row r="7033" spans="4:4" x14ac:dyDescent="0.25">
      <c r="D7033" s="102"/>
    </row>
    <row r="7034" spans="4:4" x14ac:dyDescent="0.25">
      <c r="D7034" s="102"/>
    </row>
    <row r="7035" spans="4:4" x14ac:dyDescent="0.25">
      <c r="D7035" s="102"/>
    </row>
    <row r="7036" spans="4:4" x14ac:dyDescent="0.25">
      <c r="D7036" s="102"/>
    </row>
    <row r="7037" spans="4:4" x14ac:dyDescent="0.25">
      <c r="D7037" s="102"/>
    </row>
    <row r="7038" spans="4:4" x14ac:dyDescent="0.25">
      <c r="D7038" s="102"/>
    </row>
    <row r="7039" spans="4:4" x14ac:dyDescent="0.25">
      <c r="D7039" s="102"/>
    </row>
    <row r="7040" spans="4:4" x14ac:dyDescent="0.25">
      <c r="D7040" s="102"/>
    </row>
    <row r="7041" spans="4:4" x14ac:dyDescent="0.25">
      <c r="D7041" s="102"/>
    </row>
    <row r="7042" spans="4:4" x14ac:dyDescent="0.25">
      <c r="D7042" s="102"/>
    </row>
    <row r="7043" spans="4:4" x14ac:dyDescent="0.25">
      <c r="D7043" s="102"/>
    </row>
    <row r="7044" spans="4:4" x14ac:dyDescent="0.25">
      <c r="D7044" s="102"/>
    </row>
    <row r="7045" spans="4:4" x14ac:dyDescent="0.25">
      <c r="D7045" s="102"/>
    </row>
    <row r="7046" spans="4:4" x14ac:dyDescent="0.25">
      <c r="D7046" s="102"/>
    </row>
    <row r="7047" spans="4:4" x14ac:dyDescent="0.25">
      <c r="D7047" s="102"/>
    </row>
    <row r="7048" spans="4:4" x14ac:dyDescent="0.25">
      <c r="D7048" s="102"/>
    </row>
    <row r="7049" spans="4:4" x14ac:dyDescent="0.25">
      <c r="D7049" s="102"/>
    </row>
    <row r="7050" spans="4:4" x14ac:dyDescent="0.25">
      <c r="D7050" s="102"/>
    </row>
    <row r="7051" spans="4:4" x14ac:dyDescent="0.25">
      <c r="D7051" s="102"/>
    </row>
    <row r="7052" spans="4:4" x14ac:dyDescent="0.25">
      <c r="D7052" s="102"/>
    </row>
    <row r="7053" spans="4:4" x14ac:dyDescent="0.25">
      <c r="D7053" s="102"/>
    </row>
    <row r="7054" spans="4:4" x14ac:dyDescent="0.25">
      <c r="D7054" s="102"/>
    </row>
    <row r="7055" spans="4:4" x14ac:dyDescent="0.25">
      <c r="D7055" s="102"/>
    </row>
    <row r="7056" spans="4:4" x14ac:dyDescent="0.25">
      <c r="D7056" s="102"/>
    </row>
    <row r="7057" spans="4:4" x14ac:dyDescent="0.25">
      <c r="D7057" s="102"/>
    </row>
    <row r="7058" spans="4:4" x14ac:dyDescent="0.25">
      <c r="D7058" s="102"/>
    </row>
    <row r="7059" spans="4:4" x14ac:dyDescent="0.25">
      <c r="D7059" s="102"/>
    </row>
    <row r="7060" spans="4:4" x14ac:dyDescent="0.25">
      <c r="D7060" s="102"/>
    </row>
    <row r="7061" spans="4:4" x14ac:dyDescent="0.25">
      <c r="D7061" s="102"/>
    </row>
    <row r="7062" spans="4:4" x14ac:dyDescent="0.25">
      <c r="D7062" s="102"/>
    </row>
    <row r="7063" spans="4:4" x14ac:dyDescent="0.25">
      <c r="D7063" s="102"/>
    </row>
    <row r="7064" spans="4:4" x14ac:dyDescent="0.25">
      <c r="D7064" s="102"/>
    </row>
    <row r="7065" spans="4:4" x14ac:dyDescent="0.25">
      <c r="D7065" s="102"/>
    </row>
    <row r="7066" spans="4:4" x14ac:dyDescent="0.25">
      <c r="D7066" s="102"/>
    </row>
    <row r="7067" spans="4:4" x14ac:dyDescent="0.25">
      <c r="D7067" s="102"/>
    </row>
    <row r="7068" spans="4:4" x14ac:dyDescent="0.25">
      <c r="D7068" s="102"/>
    </row>
    <row r="7069" spans="4:4" x14ac:dyDescent="0.25">
      <c r="D7069" s="102"/>
    </row>
    <row r="7070" spans="4:4" x14ac:dyDescent="0.25">
      <c r="D7070" s="102"/>
    </row>
    <row r="7071" spans="4:4" x14ac:dyDescent="0.25">
      <c r="D7071" s="102"/>
    </row>
    <row r="7072" spans="4:4" x14ac:dyDescent="0.25">
      <c r="D7072" s="102"/>
    </row>
    <row r="7073" spans="4:4" x14ac:dyDescent="0.25">
      <c r="D7073" s="102"/>
    </row>
    <row r="7074" spans="4:4" x14ac:dyDescent="0.25">
      <c r="D7074" s="102"/>
    </row>
    <row r="7075" spans="4:4" x14ac:dyDescent="0.25">
      <c r="D7075" s="102"/>
    </row>
    <row r="7076" spans="4:4" x14ac:dyDescent="0.25">
      <c r="D7076" s="102"/>
    </row>
    <row r="7077" spans="4:4" x14ac:dyDescent="0.25">
      <c r="D7077" s="102"/>
    </row>
    <row r="7078" spans="4:4" x14ac:dyDescent="0.25">
      <c r="D7078" s="102"/>
    </row>
    <row r="7079" spans="4:4" x14ac:dyDescent="0.25">
      <c r="D7079" s="102"/>
    </row>
    <row r="7080" spans="4:4" x14ac:dyDescent="0.25">
      <c r="D7080" s="102"/>
    </row>
    <row r="7081" spans="4:4" x14ac:dyDescent="0.25">
      <c r="D7081" s="102"/>
    </row>
    <row r="7082" spans="4:4" x14ac:dyDescent="0.25">
      <c r="D7082" s="102"/>
    </row>
    <row r="7083" spans="4:4" x14ac:dyDescent="0.25">
      <c r="D7083" s="102"/>
    </row>
    <row r="7084" spans="4:4" x14ac:dyDescent="0.25">
      <c r="D7084" s="102"/>
    </row>
    <row r="7085" spans="4:4" x14ac:dyDescent="0.25">
      <c r="D7085" s="102"/>
    </row>
    <row r="7086" spans="4:4" x14ac:dyDescent="0.25">
      <c r="D7086" s="102"/>
    </row>
    <row r="7087" spans="4:4" x14ac:dyDescent="0.25">
      <c r="D7087" s="102"/>
    </row>
    <row r="7088" spans="4:4" x14ac:dyDescent="0.25">
      <c r="D7088" s="102"/>
    </row>
    <row r="7089" spans="4:4" x14ac:dyDescent="0.25">
      <c r="D7089" s="102"/>
    </row>
    <row r="7090" spans="4:4" x14ac:dyDescent="0.25">
      <c r="D7090" s="102"/>
    </row>
    <row r="7091" spans="4:4" x14ac:dyDescent="0.25">
      <c r="D7091" s="102"/>
    </row>
    <row r="7092" spans="4:4" x14ac:dyDescent="0.25">
      <c r="D7092" s="102"/>
    </row>
    <row r="7093" spans="4:4" x14ac:dyDescent="0.25">
      <c r="D7093" s="102"/>
    </row>
    <row r="7094" spans="4:4" x14ac:dyDescent="0.25">
      <c r="D7094" s="102"/>
    </row>
    <row r="7095" spans="4:4" x14ac:dyDescent="0.25">
      <c r="D7095" s="102"/>
    </row>
    <row r="7096" spans="4:4" x14ac:dyDescent="0.25">
      <c r="D7096" s="102"/>
    </row>
    <row r="7097" spans="4:4" x14ac:dyDescent="0.25">
      <c r="D7097" s="102"/>
    </row>
    <row r="7098" spans="4:4" x14ac:dyDescent="0.25">
      <c r="D7098" s="102"/>
    </row>
    <row r="7099" spans="4:4" x14ac:dyDescent="0.25">
      <c r="D7099" s="102"/>
    </row>
    <row r="7100" spans="4:4" x14ac:dyDescent="0.25">
      <c r="D7100" s="102"/>
    </row>
    <row r="7101" spans="4:4" x14ac:dyDescent="0.25">
      <c r="D7101" s="102"/>
    </row>
    <row r="7102" spans="4:4" x14ac:dyDescent="0.25">
      <c r="D7102" s="102"/>
    </row>
    <row r="7103" spans="4:4" x14ac:dyDescent="0.25">
      <c r="D7103" s="102"/>
    </row>
    <row r="7104" spans="4:4" x14ac:dyDescent="0.25">
      <c r="D7104" s="102"/>
    </row>
    <row r="7105" spans="4:4" x14ac:dyDescent="0.25">
      <c r="D7105" s="102"/>
    </row>
    <row r="7106" spans="4:4" x14ac:dyDescent="0.25">
      <c r="D7106" s="102"/>
    </row>
    <row r="7107" spans="4:4" x14ac:dyDescent="0.25">
      <c r="D7107" s="102"/>
    </row>
    <row r="7108" spans="4:4" x14ac:dyDescent="0.25">
      <c r="D7108" s="102"/>
    </row>
    <row r="7109" spans="4:4" x14ac:dyDescent="0.25">
      <c r="D7109" s="102"/>
    </row>
    <row r="7110" spans="4:4" x14ac:dyDescent="0.25">
      <c r="D7110" s="102"/>
    </row>
    <row r="7111" spans="4:4" x14ac:dyDescent="0.25">
      <c r="D7111" s="102"/>
    </row>
    <row r="7112" spans="4:4" x14ac:dyDescent="0.25">
      <c r="D7112" s="102"/>
    </row>
    <row r="7113" spans="4:4" x14ac:dyDescent="0.25">
      <c r="D7113" s="102"/>
    </row>
    <row r="7114" spans="4:4" x14ac:dyDescent="0.25">
      <c r="D7114" s="102"/>
    </row>
    <row r="7115" spans="4:4" x14ac:dyDescent="0.25">
      <c r="D7115" s="102"/>
    </row>
    <row r="7116" spans="4:4" x14ac:dyDescent="0.25">
      <c r="D7116" s="102"/>
    </row>
    <row r="7117" spans="4:4" x14ac:dyDescent="0.25">
      <c r="D7117" s="102"/>
    </row>
    <row r="7118" spans="4:4" x14ac:dyDescent="0.25">
      <c r="D7118" s="102"/>
    </row>
    <row r="7119" spans="4:4" x14ac:dyDescent="0.25">
      <c r="D7119" s="102"/>
    </row>
    <row r="7120" spans="4:4" x14ac:dyDescent="0.25">
      <c r="D7120" s="102"/>
    </row>
    <row r="7121" spans="4:4" x14ac:dyDescent="0.25">
      <c r="D7121" s="102"/>
    </row>
    <row r="7122" spans="4:4" x14ac:dyDescent="0.25">
      <c r="D7122" s="102"/>
    </row>
    <row r="7123" spans="4:4" x14ac:dyDescent="0.25">
      <c r="D7123" s="102"/>
    </row>
    <row r="7124" spans="4:4" x14ac:dyDescent="0.25">
      <c r="D7124" s="102"/>
    </row>
    <row r="7125" spans="4:4" x14ac:dyDescent="0.25">
      <c r="D7125" s="102"/>
    </row>
    <row r="7126" spans="4:4" x14ac:dyDescent="0.25">
      <c r="D7126" s="102"/>
    </row>
    <row r="7127" spans="4:4" x14ac:dyDescent="0.25">
      <c r="D7127" s="102"/>
    </row>
    <row r="7128" spans="4:4" x14ac:dyDescent="0.25">
      <c r="D7128" s="102"/>
    </row>
    <row r="7129" spans="4:4" x14ac:dyDescent="0.25">
      <c r="D7129" s="102"/>
    </row>
    <row r="7130" spans="4:4" x14ac:dyDescent="0.25">
      <c r="D7130" s="102"/>
    </row>
    <row r="7131" spans="4:4" x14ac:dyDescent="0.25">
      <c r="D7131" s="102"/>
    </row>
    <row r="7132" spans="4:4" x14ac:dyDescent="0.25">
      <c r="D7132" s="102"/>
    </row>
    <row r="7133" spans="4:4" x14ac:dyDescent="0.25">
      <c r="D7133" s="102"/>
    </row>
    <row r="7134" spans="4:4" x14ac:dyDescent="0.25">
      <c r="D7134" s="102"/>
    </row>
    <row r="7135" spans="4:4" x14ac:dyDescent="0.25">
      <c r="D7135" s="102"/>
    </row>
    <row r="7136" spans="4:4" x14ac:dyDescent="0.25">
      <c r="D7136" s="102"/>
    </row>
    <row r="7137" spans="4:4" x14ac:dyDescent="0.25">
      <c r="D7137" s="102"/>
    </row>
    <row r="7138" spans="4:4" x14ac:dyDescent="0.25">
      <c r="D7138" s="102"/>
    </row>
    <row r="7139" spans="4:4" x14ac:dyDescent="0.25">
      <c r="D7139" s="102"/>
    </row>
    <row r="7140" spans="4:4" x14ac:dyDescent="0.25">
      <c r="D7140" s="102"/>
    </row>
    <row r="7141" spans="4:4" x14ac:dyDescent="0.25">
      <c r="D7141" s="102"/>
    </row>
    <row r="7142" spans="4:4" x14ac:dyDescent="0.25">
      <c r="D7142" s="102"/>
    </row>
    <row r="7143" spans="4:4" x14ac:dyDescent="0.25">
      <c r="D7143" s="102"/>
    </row>
    <row r="7144" spans="4:4" x14ac:dyDescent="0.25">
      <c r="D7144" s="102"/>
    </row>
    <row r="7145" spans="4:4" x14ac:dyDescent="0.25">
      <c r="D7145" s="102"/>
    </row>
    <row r="7146" spans="4:4" x14ac:dyDescent="0.25">
      <c r="D7146" s="102"/>
    </row>
    <row r="7147" spans="4:4" x14ac:dyDescent="0.25">
      <c r="D7147" s="102"/>
    </row>
    <row r="7148" spans="4:4" x14ac:dyDescent="0.25">
      <c r="D7148" s="102"/>
    </row>
    <row r="7149" spans="4:4" x14ac:dyDescent="0.25">
      <c r="D7149" s="102"/>
    </row>
    <row r="7150" spans="4:4" x14ac:dyDescent="0.25">
      <c r="D7150" s="102"/>
    </row>
    <row r="7151" spans="4:4" x14ac:dyDescent="0.25">
      <c r="D7151" s="102"/>
    </row>
    <row r="7152" spans="4:4" x14ac:dyDescent="0.25">
      <c r="D7152" s="102"/>
    </row>
    <row r="7153" spans="4:4" x14ac:dyDescent="0.25">
      <c r="D7153" s="102"/>
    </row>
    <row r="7154" spans="4:4" x14ac:dyDescent="0.25">
      <c r="D7154" s="102"/>
    </row>
    <row r="7155" spans="4:4" x14ac:dyDescent="0.25">
      <c r="D7155" s="102"/>
    </row>
    <row r="7156" spans="4:4" x14ac:dyDescent="0.25">
      <c r="D7156" s="102"/>
    </row>
    <row r="7157" spans="4:4" x14ac:dyDescent="0.25">
      <c r="D7157" s="102"/>
    </row>
    <row r="7158" spans="4:4" x14ac:dyDescent="0.25">
      <c r="D7158" s="102"/>
    </row>
    <row r="7159" spans="4:4" x14ac:dyDescent="0.25">
      <c r="D7159" s="102"/>
    </row>
    <row r="7160" spans="4:4" x14ac:dyDescent="0.25">
      <c r="D7160" s="102"/>
    </row>
    <row r="7161" spans="4:4" x14ac:dyDescent="0.25">
      <c r="D7161" s="102"/>
    </row>
    <row r="7162" spans="4:4" x14ac:dyDescent="0.25">
      <c r="D7162" s="102"/>
    </row>
    <row r="7163" spans="4:4" x14ac:dyDescent="0.25">
      <c r="D7163" s="102"/>
    </row>
    <row r="7164" spans="4:4" x14ac:dyDescent="0.25">
      <c r="D7164" s="102"/>
    </row>
    <row r="7165" spans="4:4" x14ac:dyDescent="0.25">
      <c r="D7165" s="102"/>
    </row>
    <row r="7166" spans="4:4" x14ac:dyDescent="0.25">
      <c r="D7166" s="102"/>
    </row>
    <row r="7167" spans="4:4" x14ac:dyDescent="0.25">
      <c r="D7167" s="102"/>
    </row>
    <row r="7168" spans="4:4" x14ac:dyDescent="0.25">
      <c r="D7168" s="102"/>
    </row>
    <row r="7169" spans="4:4" x14ac:dyDescent="0.25">
      <c r="D7169" s="102"/>
    </row>
    <row r="7170" spans="4:4" x14ac:dyDescent="0.25">
      <c r="D7170" s="102"/>
    </row>
    <row r="7171" spans="4:4" x14ac:dyDescent="0.25">
      <c r="D7171" s="102"/>
    </row>
    <row r="7172" spans="4:4" x14ac:dyDescent="0.25">
      <c r="D7172" s="102"/>
    </row>
    <row r="7173" spans="4:4" x14ac:dyDescent="0.25">
      <c r="D7173" s="102"/>
    </row>
    <row r="7174" spans="4:4" x14ac:dyDescent="0.25">
      <c r="D7174" s="102"/>
    </row>
    <row r="7175" spans="4:4" x14ac:dyDescent="0.25">
      <c r="D7175" s="102"/>
    </row>
    <row r="7176" spans="4:4" x14ac:dyDescent="0.25">
      <c r="D7176" s="102"/>
    </row>
    <row r="7177" spans="4:4" x14ac:dyDescent="0.25">
      <c r="D7177" s="102"/>
    </row>
    <row r="7178" spans="4:4" x14ac:dyDescent="0.25">
      <c r="D7178" s="102"/>
    </row>
    <row r="7179" spans="4:4" x14ac:dyDescent="0.25">
      <c r="D7179" s="102"/>
    </row>
    <row r="7180" spans="4:4" x14ac:dyDescent="0.25">
      <c r="D7180" s="102"/>
    </row>
    <row r="7181" spans="4:4" x14ac:dyDescent="0.25">
      <c r="D7181" s="102"/>
    </row>
    <row r="7182" spans="4:4" x14ac:dyDescent="0.25">
      <c r="D7182" s="102"/>
    </row>
    <row r="7183" spans="4:4" x14ac:dyDescent="0.25">
      <c r="D7183" s="102"/>
    </row>
    <row r="7184" spans="4:4" x14ac:dyDescent="0.25">
      <c r="D7184" s="102"/>
    </row>
    <row r="7185" spans="4:4" x14ac:dyDescent="0.25">
      <c r="D7185" s="102"/>
    </row>
    <row r="7186" spans="4:4" x14ac:dyDescent="0.25">
      <c r="D7186" s="102"/>
    </row>
    <row r="7187" spans="4:4" x14ac:dyDescent="0.25">
      <c r="D7187" s="102"/>
    </row>
    <row r="7188" spans="4:4" x14ac:dyDescent="0.25">
      <c r="D7188" s="102"/>
    </row>
    <row r="7189" spans="4:4" x14ac:dyDescent="0.25">
      <c r="D7189" s="102"/>
    </row>
    <row r="7190" spans="4:4" x14ac:dyDescent="0.25">
      <c r="D7190" s="102"/>
    </row>
    <row r="7191" spans="4:4" x14ac:dyDescent="0.25">
      <c r="D7191" s="102"/>
    </row>
    <row r="7192" spans="4:4" x14ac:dyDescent="0.25">
      <c r="D7192" s="102"/>
    </row>
    <row r="7193" spans="4:4" x14ac:dyDescent="0.25">
      <c r="D7193" s="102"/>
    </row>
    <row r="7194" spans="4:4" x14ac:dyDescent="0.25">
      <c r="D7194" s="102"/>
    </row>
    <row r="7195" spans="4:4" x14ac:dyDescent="0.25">
      <c r="D7195" s="102"/>
    </row>
    <row r="7196" spans="4:4" x14ac:dyDescent="0.25">
      <c r="D7196" s="102"/>
    </row>
    <row r="7197" spans="4:4" x14ac:dyDescent="0.25">
      <c r="D7197" s="102"/>
    </row>
    <row r="7198" spans="4:4" x14ac:dyDescent="0.25">
      <c r="D7198" s="102"/>
    </row>
    <row r="7199" spans="4:4" x14ac:dyDescent="0.25">
      <c r="D7199" s="102"/>
    </row>
    <row r="7200" spans="4:4" x14ac:dyDescent="0.25">
      <c r="D7200" s="102"/>
    </row>
    <row r="7201" spans="4:4" x14ac:dyDescent="0.25">
      <c r="D7201" s="102"/>
    </row>
    <row r="7202" spans="4:4" x14ac:dyDescent="0.25">
      <c r="D7202" s="102"/>
    </row>
    <row r="7203" spans="4:4" x14ac:dyDescent="0.25">
      <c r="D7203" s="102"/>
    </row>
    <row r="7204" spans="4:4" x14ac:dyDescent="0.25">
      <c r="D7204" s="102"/>
    </row>
    <row r="7205" spans="4:4" x14ac:dyDescent="0.25">
      <c r="D7205" s="102"/>
    </row>
    <row r="7206" spans="4:4" x14ac:dyDescent="0.25">
      <c r="D7206" s="102"/>
    </row>
    <row r="7207" spans="4:4" x14ac:dyDescent="0.25">
      <c r="D7207" s="102"/>
    </row>
    <row r="7208" spans="4:4" x14ac:dyDescent="0.25">
      <c r="D7208" s="102"/>
    </row>
    <row r="7209" spans="4:4" x14ac:dyDescent="0.25">
      <c r="D7209" s="102"/>
    </row>
    <row r="7210" spans="4:4" x14ac:dyDescent="0.25">
      <c r="D7210" s="102"/>
    </row>
    <row r="7211" spans="4:4" x14ac:dyDescent="0.25">
      <c r="D7211" s="102"/>
    </row>
    <row r="7212" spans="4:4" x14ac:dyDescent="0.25">
      <c r="D7212" s="102"/>
    </row>
    <row r="7213" spans="4:4" x14ac:dyDescent="0.25">
      <c r="D7213" s="102"/>
    </row>
    <row r="7214" spans="4:4" x14ac:dyDescent="0.25">
      <c r="D7214" s="102"/>
    </row>
    <row r="7215" spans="4:4" x14ac:dyDescent="0.25">
      <c r="D7215" s="102"/>
    </row>
    <row r="7216" spans="4:4" x14ac:dyDescent="0.25">
      <c r="D7216" s="102"/>
    </row>
    <row r="7217" spans="4:4" x14ac:dyDescent="0.25">
      <c r="D7217" s="102"/>
    </row>
    <row r="7218" spans="4:4" x14ac:dyDescent="0.25">
      <c r="D7218" s="102"/>
    </row>
    <row r="7219" spans="4:4" x14ac:dyDescent="0.25">
      <c r="D7219" s="102"/>
    </row>
    <row r="7220" spans="4:4" x14ac:dyDescent="0.25">
      <c r="D7220" s="102"/>
    </row>
    <row r="7221" spans="4:4" x14ac:dyDescent="0.25">
      <c r="D7221" s="102"/>
    </row>
    <row r="7222" spans="4:4" x14ac:dyDescent="0.25">
      <c r="D7222" s="102"/>
    </row>
    <row r="7223" spans="4:4" x14ac:dyDescent="0.25">
      <c r="D7223" s="102"/>
    </row>
    <row r="7224" spans="4:4" x14ac:dyDescent="0.25">
      <c r="D7224" s="102"/>
    </row>
    <row r="7225" spans="4:4" x14ac:dyDescent="0.25">
      <c r="D7225" s="102"/>
    </row>
    <row r="7226" spans="4:4" x14ac:dyDescent="0.25">
      <c r="D7226" s="102"/>
    </row>
    <row r="7227" spans="4:4" x14ac:dyDescent="0.25">
      <c r="D7227" s="102"/>
    </row>
    <row r="7228" spans="4:4" x14ac:dyDescent="0.25">
      <c r="D7228" s="102"/>
    </row>
    <row r="7229" spans="4:4" x14ac:dyDescent="0.25">
      <c r="D7229" s="102"/>
    </row>
    <row r="7230" spans="4:4" x14ac:dyDescent="0.25">
      <c r="D7230" s="102"/>
    </row>
    <row r="7231" spans="4:4" x14ac:dyDescent="0.25">
      <c r="D7231" s="102"/>
    </row>
    <row r="7232" spans="4:4" x14ac:dyDescent="0.25">
      <c r="D7232" s="102"/>
    </row>
    <row r="7233" spans="4:4" x14ac:dyDescent="0.25">
      <c r="D7233" s="102"/>
    </row>
    <row r="7234" spans="4:4" x14ac:dyDescent="0.25">
      <c r="D7234" s="102"/>
    </row>
    <row r="7235" spans="4:4" x14ac:dyDescent="0.25">
      <c r="D7235" s="102"/>
    </row>
    <row r="7236" spans="4:4" x14ac:dyDescent="0.25">
      <c r="D7236" s="102"/>
    </row>
    <row r="7237" spans="4:4" x14ac:dyDescent="0.25">
      <c r="D7237" s="102"/>
    </row>
    <row r="7238" spans="4:4" x14ac:dyDescent="0.25">
      <c r="D7238" s="102"/>
    </row>
    <row r="7239" spans="4:4" x14ac:dyDescent="0.25">
      <c r="D7239" s="102"/>
    </row>
    <row r="7240" spans="4:4" x14ac:dyDescent="0.25">
      <c r="D7240" s="102"/>
    </row>
    <row r="7241" spans="4:4" x14ac:dyDescent="0.25">
      <c r="D7241" s="102"/>
    </row>
    <row r="7242" spans="4:4" x14ac:dyDescent="0.25">
      <c r="D7242" s="102"/>
    </row>
    <row r="7243" spans="4:4" x14ac:dyDescent="0.25">
      <c r="D7243" s="102"/>
    </row>
    <row r="7244" spans="4:4" x14ac:dyDescent="0.25">
      <c r="D7244" s="102"/>
    </row>
    <row r="7245" spans="4:4" x14ac:dyDescent="0.25">
      <c r="D7245" s="102"/>
    </row>
    <row r="7246" spans="4:4" x14ac:dyDescent="0.25">
      <c r="D7246" s="102"/>
    </row>
    <row r="7247" spans="4:4" x14ac:dyDescent="0.25">
      <c r="D7247" s="102"/>
    </row>
    <row r="7248" spans="4:4" x14ac:dyDescent="0.25">
      <c r="D7248" s="102"/>
    </row>
    <row r="7249" spans="4:4" x14ac:dyDescent="0.25">
      <c r="D7249" s="102"/>
    </row>
    <row r="7250" spans="4:4" x14ac:dyDescent="0.25">
      <c r="D7250" s="102"/>
    </row>
    <row r="7251" spans="4:4" x14ac:dyDescent="0.25">
      <c r="D7251" s="102"/>
    </row>
    <row r="7252" spans="4:4" x14ac:dyDescent="0.25">
      <c r="D7252" s="102"/>
    </row>
    <row r="7253" spans="4:4" x14ac:dyDescent="0.25">
      <c r="D7253" s="102"/>
    </row>
    <row r="7254" spans="4:4" x14ac:dyDescent="0.25">
      <c r="D7254" s="102"/>
    </row>
    <row r="7255" spans="4:4" x14ac:dyDescent="0.25">
      <c r="D7255" s="102"/>
    </row>
    <row r="7256" spans="4:4" x14ac:dyDescent="0.25">
      <c r="D7256" s="102"/>
    </row>
    <row r="7257" spans="4:4" x14ac:dyDescent="0.25">
      <c r="D7257" s="102"/>
    </row>
    <row r="7258" spans="4:4" x14ac:dyDescent="0.25">
      <c r="D7258" s="102"/>
    </row>
    <row r="7259" spans="4:4" x14ac:dyDescent="0.25">
      <c r="D7259" s="102"/>
    </row>
    <row r="7260" spans="4:4" x14ac:dyDescent="0.25">
      <c r="D7260" s="102"/>
    </row>
    <row r="7261" spans="4:4" x14ac:dyDescent="0.25">
      <c r="D7261" s="102"/>
    </row>
    <row r="7262" spans="4:4" x14ac:dyDescent="0.25">
      <c r="D7262" s="102"/>
    </row>
    <row r="7263" spans="4:4" x14ac:dyDescent="0.25">
      <c r="D7263" s="102"/>
    </row>
    <row r="7264" spans="4:4" x14ac:dyDescent="0.25">
      <c r="D7264" s="102"/>
    </row>
    <row r="7265" spans="4:4" x14ac:dyDescent="0.25">
      <c r="D7265" s="102"/>
    </row>
    <row r="7266" spans="4:4" x14ac:dyDescent="0.25">
      <c r="D7266" s="102"/>
    </row>
    <row r="7267" spans="4:4" x14ac:dyDescent="0.25">
      <c r="D7267" s="102"/>
    </row>
    <row r="7268" spans="4:4" x14ac:dyDescent="0.25">
      <c r="D7268" s="102"/>
    </row>
    <row r="7269" spans="4:4" x14ac:dyDescent="0.25">
      <c r="D7269" s="102"/>
    </row>
    <row r="7270" spans="4:4" x14ac:dyDescent="0.25">
      <c r="D7270" s="102"/>
    </row>
    <row r="7271" spans="4:4" x14ac:dyDescent="0.25">
      <c r="D7271" s="102"/>
    </row>
    <row r="7272" spans="4:4" x14ac:dyDescent="0.25">
      <c r="D7272" s="102"/>
    </row>
    <row r="7273" spans="4:4" x14ac:dyDescent="0.25">
      <c r="D7273" s="102"/>
    </row>
    <row r="7274" spans="4:4" x14ac:dyDescent="0.25">
      <c r="D7274" s="102"/>
    </row>
    <row r="7275" spans="4:4" x14ac:dyDescent="0.25">
      <c r="D7275" s="102"/>
    </row>
    <row r="7276" spans="4:4" x14ac:dyDescent="0.25">
      <c r="D7276" s="102"/>
    </row>
    <row r="7277" spans="4:4" x14ac:dyDescent="0.25">
      <c r="D7277" s="102"/>
    </row>
    <row r="7278" spans="4:4" x14ac:dyDescent="0.25">
      <c r="D7278" s="102"/>
    </row>
    <row r="7279" spans="4:4" x14ac:dyDescent="0.25">
      <c r="D7279" s="102"/>
    </row>
    <row r="7280" spans="4:4" x14ac:dyDescent="0.25">
      <c r="D7280" s="102"/>
    </row>
    <row r="7281" spans="4:4" x14ac:dyDescent="0.25">
      <c r="D7281" s="102"/>
    </row>
    <row r="7282" spans="4:4" x14ac:dyDescent="0.25">
      <c r="D7282" s="102"/>
    </row>
    <row r="7283" spans="4:4" x14ac:dyDescent="0.25">
      <c r="D7283" s="102"/>
    </row>
    <row r="7284" spans="4:4" x14ac:dyDescent="0.25">
      <c r="D7284" s="102"/>
    </row>
    <row r="7285" spans="4:4" x14ac:dyDescent="0.25">
      <c r="D7285" s="102"/>
    </row>
    <row r="7286" spans="4:4" x14ac:dyDescent="0.25">
      <c r="D7286" s="102"/>
    </row>
    <row r="7287" spans="4:4" x14ac:dyDescent="0.25">
      <c r="D7287" s="102"/>
    </row>
    <row r="7288" spans="4:4" x14ac:dyDescent="0.25">
      <c r="D7288" s="102"/>
    </row>
    <row r="7289" spans="4:4" x14ac:dyDescent="0.25">
      <c r="D7289" s="102"/>
    </row>
    <row r="7290" spans="4:4" x14ac:dyDescent="0.25">
      <c r="D7290" s="102"/>
    </row>
    <row r="7291" spans="4:4" x14ac:dyDescent="0.25">
      <c r="D7291" s="102"/>
    </row>
    <row r="7292" spans="4:4" x14ac:dyDescent="0.25">
      <c r="D7292" s="102"/>
    </row>
    <row r="7293" spans="4:4" x14ac:dyDescent="0.25">
      <c r="D7293" s="102"/>
    </row>
    <row r="7294" spans="4:4" x14ac:dyDescent="0.25">
      <c r="D7294" s="102"/>
    </row>
    <row r="7295" spans="4:4" x14ac:dyDescent="0.25">
      <c r="D7295" s="102"/>
    </row>
    <row r="7296" spans="4:4" x14ac:dyDescent="0.25">
      <c r="D7296" s="102"/>
    </row>
    <row r="7297" spans="4:4" x14ac:dyDescent="0.25">
      <c r="D7297" s="102"/>
    </row>
    <row r="7298" spans="4:4" x14ac:dyDescent="0.25">
      <c r="D7298" s="102"/>
    </row>
    <row r="7299" spans="4:4" x14ac:dyDescent="0.25">
      <c r="D7299" s="102"/>
    </row>
    <row r="7300" spans="4:4" x14ac:dyDescent="0.25">
      <c r="D7300" s="102"/>
    </row>
    <row r="7301" spans="4:4" x14ac:dyDescent="0.25">
      <c r="D7301" s="102"/>
    </row>
    <row r="7302" spans="4:4" x14ac:dyDescent="0.25">
      <c r="D7302" s="102"/>
    </row>
    <row r="7303" spans="4:4" x14ac:dyDescent="0.25">
      <c r="D7303" s="102"/>
    </row>
    <row r="7304" spans="4:4" x14ac:dyDescent="0.25">
      <c r="D7304" s="102"/>
    </row>
    <row r="7305" spans="4:4" x14ac:dyDescent="0.25">
      <c r="D7305" s="102"/>
    </row>
    <row r="7306" spans="4:4" x14ac:dyDescent="0.25">
      <c r="D7306" s="102"/>
    </row>
    <row r="7307" spans="4:4" x14ac:dyDescent="0.25">
      <c r="D7307" s="102"/>
    </row>
    <row r="7308" spans="4:4" x14ac:dyDescent="0.25">
      <c r="D7308" s="102"/>
    </row>
    <row r="7309" spans="4:4" x14ac:dyDescent="0.25">
      <c r="D7309" s="102"/>
    </row>
    <row r="7310" spans="4:4" x14ac:dyDescent="0.25">
      <c r="D7310" s="102"/>
    </row>
    <row r="7311" spans="4:4" x14ac:dyDescent="0.25">
      <c r="D7311" s="102"/>
    </row>
    <row r="7312" spans="4:4" x14ac:dyDescent="0.25">
      <c r="D7312" s="102"/>
    </row>
    <row r="7313" spans="4:4" x14ac:dyDescent="0.25">
      <c r="D7313" s="102"/>
    </row>
    <row r="7314" spans="4:4" x14ac:dyDescent="0.25">
      <c r="D7314" s="102"/>
    </row>
    <row r="7315" spans="4:4" x14ac:dyDescent="0.25">
      <c r="D7315" s="102"/>
    </row>
    <row r="7316" spans="4:4" x14ac:dyDescent="0.25">
      <c r="D7316" s="102"/>
    </row>
    <row r="7317" spans="4:4" x14ac:dyDescent="0.25">
      <c r="D7317" s="102"/>
    </row>
    <row r="7318" spans="4:4" x14ac:dyDescent="0.25">
      <c r="D7318" s="102"/>
    </row>
    <row r="7319" spans="4:4" x14ac:dyDescent="0.25">
      <c r="D7319" s="102"/>
    </row>
    <row r="7320" spans="4:4" x14ac:dyDescent="0.25">
      <c r="D7320" s="102"/>
    </row>
    <row r="7321" spans="4:4" x14ac:dyDescent="0.25">
      <c r="D7321" s="102"/>
    </row>
    <row r="7322" spans="4:4" x14ac:dyDescent="0.25">
      <c r="D7322" s="102"/>
    </row>
    <row r="7323" spans="4:4" x14ac:dyDescent="0.25">
      <c r="D7323" s="102"/>
    </row>
    <row r="7324" spans="4:4" x14ac:dyDescent="0.25">
      <c r="D7324" s="102"/>
    </row>
    <row r="7325" spans="4:4" x14ac:dyDescent="0.25">
      <c r="D7325" s="102"/>
    </row>
    <row r="7326" spans="4:4" x14ac:dyDescent="0.25">
      <c r="D7326" s="102"/>
    </row>
    <row r="7327" spans="4:4" x14ac:dyDescent="0.25">
      <c r="D7327" s="102"/>
    </row>
    <row r="7328" spans="4:4" x14ac:dyDescent="0.25">
      <c r="D7328" s="102"/>
    </row>
    <row r="7329" spans="4:4" x14ac:dyDescent="0.25">
      <c r="D7329" s="102"/>
    </row>
    <row r="7330" spans="4:4" x14ac:dyDescent="0.25">
      <c r="D7330" s="102"/>
    </row>
    <row r="7331" spans="4:4" x14ac:dyDescent="0.25">
      <c r="D7331" s="102"/>
    </row>
    <row r="7332" spans="4:4" x14ac:dyDescent="0.25">
      <c r="D7332" s="102"/>
    </row>
    <row r="7333" spans="4:4" x14ac:dyDescent="0.25">
      <c r="D7333" s="102"/>
    </row>
    <row r="7334" spans="4:4" x14ac:dyDescent="0.25">
      <c r="D7334" s="102"/>
    </row>
    <row r="7335" spans="4:4" x14ac:dyDescent="0.25">
      <c r="D7335" s="102"/>
    </row>
    <row r="7336" spans="4:4" x14ac:dyDescent="0.25">
      <c r="D7336" s="102"/>
    </row>
    <row r="7337" spans="4:4" x14ac:dyDescent="0.25">
      <c r="D7337" s="102"/>
    </row>
    <row r="7338" spans="4:4" x14ac:dyDescent="0.25">
      <c r="D7338" s="102"/>
    </row>
    <row r="7339" spans="4:4" x14ac:dyDescent="0.25">
      <c r="D7339" s="102"/>
    </row>
    <row r="7340" spans="4:4" x14ac:dyDescent="0.25">
      <c r="D7340" s="102"/>
    </row>
    <row r="7341" spans="4:4" x14ac:dyDescent="0.25">
      <c r="D7341" s="102"/>
    </row>
    <row r="7342" spans="4:4" x14ac:dyDescent="0.25">
      <c r="D7342" s="102"/>
    </row>
    <row r="7343" spans="4:4" x14ac:dyDescent="0.25">
      <c r="D7343" s="102"/>
    </row>
    <row r="7344" spans="4:4" x14ac:dyDescent="0.25">
      <c r="D7344" s="102"/>
    </row>
    <row r="7345" spans="4:4" x14ac:dyDescent="0.25">
      <c r="D7345" s="102"/>
    </row>
    <row r="7346" spans="4:4" x14ac:dyDescent="0.25">
      <c r="D7346" s="102"/>
    </row>
    <row r="7347" spans="4:4" x14ac:dyDescent="0.25">
      <c r="D7347" s="102"/>
    </row>
    <row r="7348" spans="4:4" x14ac:dyDescent="0.25">
      <c r="D7348" s="102"/>
    </row>
    <row r="7349" spans="4:4" x14ac:dyDescent="0.25">
      <c r="D7349" s="102"/>
    </row>
    <row r="7350" spans="4:4" x14ac:dyDescent="0.25">
      <c r="D7350" s="102"/>
    </row>
    <row r="7351" spans="4:4" x14ac:dyDescent="0.25">
      <c r="D7351" s="102"/>
    </row>
    <row r="7352" spans="4:4" x14ac:dyDescent="0.25">
      <c r="D7352" s="102"/>
    </row>
    <row r="7353" spans="4:4" x14ac:dyDescent="0.25">
      <c r="D7353" s="102"/>
    </row>
    <row r="7354" spans="4:4" x14ac:dyDescent="0.25">
      <c r="D7354" s="102"/>
    </row>
    <row r="7355" spans="4:4" x14ac:dyDescent="0.25">
      <c r="D7355" s="102"/>
    </row>
    <row r="7356" spans="4:4" x14ac:dyDescent="0.25">
      <c r="D7356" s="102"/>
    </row>
    <row r="7357" spans="4:4" x14ac:dyDescent="0.25">
      <c r="D7357" s="102"/>
    </row>
    <row r="7358" spans="4:4" x14ac:dyDescent="0.25">
      <c r="D7358" s="102"/>
    </row>
    <row r="7359" spans="4:4" x14ac:dyDescent="0.25">
      <c r="D7359" s="102"/>
    </row>
    <row r="7360" spans="4:4" x14ac:dyDescent="0.25">
      <c r="D7360" s="102"/>
    </row>
    <row r="7361" spans="4:4" x14ac:dyDescent="0.25">
      <c r="D7361" s="102"/>
    </row>
    <row r="7362" spans="4:4" x14ac:dyDescent="0.25">
      <c r="D7362" s="102"/>
    </row>
    <row r="7363" spans="4:4" x14ac:dyDescent="0.25">
      <c r="D7363" s="102"/>
    </row>
    <row r="7364" spans="4:4" x14ac:dyDescent="0.25">
      <c r="D7364" s="102"/>
    </row>
    <row r="7365" spans="4:4" x14ac:dyDescent="0.25">
      <c r="D7365" s="102"/>
    </row>
    <row r="7366" spans="4:4" x14ac:dyDescent="0.25">
      <c r="D7366" s="102"/>
    </row>
    <row r="7367" spans="4:4" x14ac:dyDescent="0.25">
      <c r="D7367" s="102"/>
    </row>
    <row r="7368" spans="4:4" x14ac:dyDescent="0.25">
      <c r="D7368" s="102"/>
    </row>
    <row r="7369" spans="4:4" x14ac:dyDescent="0.25">
      <c r="D7369" s="102"/>
    </row>
    <row r="7370" spans="4:4" x14ac:dyDescent="0.25">
      <c r="D7370" s="102"/>
    </row>
    <row r="7371" spans="4:4" x14ac:dyDescent="0.25">
      <c r="D7371" s="102"/>
    </row>
    <row r="7372" spans="4:4" x14ac:dyDescent="0.25">
      <c r="D7372" s="102"/>
    </row>
    <row r="7373" spans="4:4" x14ac:dyDescent="0.25">
      <c r="D7373" s="102"/>
    </row>
    <row r="7374" spans="4:4" x14ac:dyDescent="0.25">
      <c r="D7374" s="102"/>
    </row>
    <row r="7375" spans="4:4" x14ac:dyDescent="0.25">
      <c r="D7375" s="102"/>
    </row>
    <row r="7376" spans="4:4" x14ac:dyDescent="0.25">
      <c r="D7376" s="102"/>
    </row>
    <row r="7377" spans="4:4" x14ac:dyDescent="0.25">
      <c r="D7377" s="102"/>
    </row>
    <row r="7378" spans="4:4" x14ac:dyDescent="0.25">
      <c r="D7378" s="102"/>
    </row>
    <row r="7379" spans="4:4" x14ac:dyDescent="0.25">
      <c r="D7379" s="102"/>
    </row>
    <row r="7380" spans="4:4" x14ac:dyDescent="0.25">
      <c r="D7380" s="102"/>
    </row>
    <row r="7381" spans="4:4" x14ac:dyDescent="0.25">
      <c r="D7381" s="102"/>
    </row>
    <row r="7382" spans="4:4" x14ac:dyDescent="0.25">
      <c r="D7382" s="102"/>
    </row>
    <row r="7383" spans="4:4" x14ac:dyDescent="0.25">
      <c r="D7383" s="102"/>
    </row>
    <row r="7384" spans="4:4" x14ac:dyDescent="0.25">
      <c r="D7384" s="102"/>
    </row>
    <row r="7385" spans="4:4" x14ac:dyDescent="0.25">
      <c r="D7385" s="102"/>
    </row>
    <row r="7386" spans="4:4" x14ac:dyDescent="0.25">
      <c r="D7386" s="102"/>
    </row>
    <row r="7387" spans="4:4" x14ac:dyDescent="0.25">
      <c r="D7387" s="102"/>
    </row>
    <row r="7388" spans="4:4" x14ac:dyDescent="0.25">
      <c r="D7388" s="102"/>
    </row>
    <row r="7389" spans="4:4" x14ac:dyDescent="0.25">
      <c r="D7389" s="102"/>
    </row>
    <row r="7390" spans="4:4" x14ac:dyDescent="0.25">
      <c r="D7390" s="102"/>
    </row>
    <row r="7391" spans="4:4" x14ac:dyDescent="0.25">
      <c r="D7391" s="102"/>
    </row>
    <row r="7392" spans="4:4" x14ac:dyDescent="0.25">
      <c r="D7392" s="102"/>
    </row>
    <row r="7393" spans="4:4" x14ac:dyDescent="0.25">
      <c r="D7393" s="102"/>
    </row>
    <row r="7394" spans="4:4" x14ac:dyDescent="0.25">
      <c r="D7394" s="102"/>
    </row>
    <row r="7395" spans="4:4" x14ac:dyDescent="0.25">
      <c r="D7395" s="102"/>
    </row>
    <row r="7396" spans="4:4" x14ac:dyDescent="0.25">
      <c r="D7396" s="102"/>
    </row>
    <row r="7397" spans="4:4" x14ac:dyDescent="0.25">
      <c r="D7397" s="102"/>
    </row>
    <row r="7398" spans="4:4" x14ac:dyDescent="0.25">
      <c r="D7398" s="102"/>
    </row>
    <row r="7399" spans="4:4" x14ac:dyDescent="0.25">
      <c r="D7399" s="102"/>
    </row>
    <row r="7400" spans="4:4" x14ac:dyDescent="0.25">
      <c r="D7400" s="102"/>
    </row>
    <row r="7401" spans="4:4" x14ac:dyDescent="0.25">
      <c r="D7401" s="102"/>
    </row>
    <row r="7402" spans="4:4" x14ac:dyDescent="0.25">
      <c r="D7402" s="102"/>
    </row>
    <row r="7403" spans="4:4" x14ac:dyDescent="0.25">
      <c r="D7403" s="102"/>
    </row>
    <row r="7404" spans="4:4" x14ac:dyDescent="0.25">
      <c r="D7404" s="102"/>
    </row>
    <row r="7405" spans="4:4" x14ac:dyDescent="0.25">
      <c r="D7405" s="102"/>
    </row>
    <row r="7406" spans="4:4" x14ac:dyDescent="0.25">
      <c r="D7406" s="102"/>
    </row>
    <row r="7407" spans="4:4" x14ac:dyDescent="0.25">
      <c r="D7407" s="102"/>
    </row>
    <row r="7408" spans="4:4" x14ac:dyDescent="0.25">
      <c r="D7408" s="102"/>
    </row>
    <row r="7409" spans="4:4" x14ac:dyDescent="0.25">
      <c r="D7409" s="102"/>
    </row>
    <row r="7410" spans="4:4" x14ac:dyDescent="0.25">
      <c r="D7410" s="102"/>
    </row>
    <row r="7411" spans="4:4" x14ac:dyDescent="0.25">
      <c r="D7411" s="102"/>
    </row>
    <row r="7412" spans="4:4" x14ac:dyDescent="0.25">
      <c r="D7412" s="102"/>
    </row>
    <row r="7413" spans="4:4" x14ac:dyDescent="0.25">
      <c r="D7413" s="102"/>
    </row>
    <row r="7414" spans="4:4" x14ac:dyDescent="0.25">
      <c r="D7414" s="102"/>
    </row>
    <row r="7415" spans="4:4" x14ac:dyDescent="0.25">
      <c r="D7415" s="102"/>
    </row>
    <row r="7416" spans="4:4" x14ac:dyDescent="0.25">
      <c r="D7416" s="102"/>
    </row>
    <row r="7417" spans="4:4" x14ac:dyDescent="0.25">
      <c r="D7417" s="102"/>
    </row>
    <row r="7418" spans="4:4" x14ac:dyDescent="0.25">
      <c r="D7418" s="102"/>
    </row>
    <row r="7419" spans="4:4" x14ac:dyDescent="0.25">
      <c r="D7419" s="102"/>
    </row>
    <row r="7420" spans="4:4" x14ac:dyDescent="0.25">
      <c r="D7420" s="102"/>
    </row>
    <row r="7421" spans="4:4" x14ac:dyDescent="0.25">
      <c r="D7421" s="102"/>
    </row>
    <row r="7422" spans="4:4" x14ac:dyDescent="0.25">
      <c r="D7422" s="102"/>
    </row>
    <row r="7423" spans="4:4" x14ac:dyDescent="0.25">
      <c r="D7423" s="102"/>
    </row>
    <row r="7424" spans="4:4" x14ac:dyDescent="0.25">
      <c r="D7424" s="102"/>
    </row>
    <row r="7425" spans="4:4" x14ac:dyDescent="0.25">
      <c r="D7425" s="102"/>
    </row>
    <row r="7426" spans="4:4" x14ac:dyDescent="0.25">
      <c r="D7426" s="102"/>
    </row>
    <row r="7427" spans="4:4" x14ac:dyDescent="0.25">
      <c r="D7427" s="102"/>
    </row>
    <row r="7428" spans="4:4" x14ac:dyDescent="0.25">
      <c r="D7428" s="102"/>
    </row>
    <row r="7429" spans="4:4" x14ac:dyDescent="0.25">
      <c r="D7429" s="102"/>
    </row>
    <row r="7430" spans="4:4" x14ac:dyDescent="0.25">
      <c r="D7430" s="102"/>
    </row>
    <row r="7431" spans="4:4" x14ac:dyDescent="0.25">
      <c r="D7431" s="102"/>
    </row>
    <row r="7432" spans="4:4" x14ac:dyDescent="0.25">
      <c r="D7432" s="102"/>
    </row>
    <row r="7433" spans="4:4" x14ac:dyDescent="0.25">
      <c r="D7433" s="102"/>
    </row>
    <row r="7434" spans="4:4" x14ac:dyDescent="0.25">
      <c r="D7434" s="102"/>
    </row>
    <row r="7435" spans="4:4" x14ac:dyDescent="0.25">
      <c r="D7435" s="102"/>
    </row>
    <row r="7436" spans="4:4" x14ac:dyDescent="0.25">
      <c r="D7436" s="102"/>
    </row>
    <row r="7437" spans="4:4" x14ac:dyDescent="0.25">
      <c r="D7437" s="102"/>
    </row>
    <row r="7438" spans="4:4" x14ac:dyDescent="0.25">
      <c r="D7438" s="102"/>
    </row>
    <row r="7439" spans="4:4" x14ac:dyDescent="0.25">
      <c r="D7439" s="102"/>
    </row>
    <row r="7440" spans="4:4" x14ac:dyDescent="0.25">
      <c r="D7440" s="102"/>
    </row>
    <row r="7441" spans="4:4" x14ac:dyDescent="0.25">
      <c r="D7441" s="102"/>
    </row>
    <row r="7442" spans="4:4" x14ac:dyDescent="0.25">
      <c r="D7442" s="102"/>
    </row>
    <row r="7443" spans="4:4" x14ac:dyDescent="0.25">
      <c r="D7443" s="102"/>
    </row>
    <row r="7444" spans="4:4" x14ac:dyDescent="0.25">
      <c r="D7444" s="102"/>
    </row>
    <row r="7445" spans="4:4" x14ac:dyDescent="0.25">
      <c r="D7445" s="102"/>
    </row>
    <row r="7446" spans="4:4" x14ac:dyDescent="0.25">
      <c r="D7446" s="102"/>
    </row>
    <row r="7447" spans="4:4" x14ac:dyDescent="0.25">
      <c r="D7447" s="102"/>
    </row>
    <row r="7448" spans="4:4" x14ac:dyDescent="0.25">
      <c r="D7448" s="102"/>
    </row>
    <row r="7449" spans="4:4" x14ac:dyDescent="0.25">
      <c r="D7449" s="102"/>
    </row>
    <row r="7450" spans="4:4" x14ac:dyDescent="0.25">
      <c r="D7450" s="102"/>
    </row>
    <row r="7451" spans="4:4" x14ac:dyDescent="0.25">
      <c r="D7451" s="102"/>
    </row>
    <row r="7452" spans="4:4" x14ac:dyDescent="0.25">
      <c r="D7452" s="102"/>
    </row>
    <row r="7453" spans="4:4" x14ac:dyDescent="0.25">
      <c r="D7453" s="102"/>
    </row>
    <row r="7454" spans="4:4" x14ac:dyDescent="0.25">
      <c r="D7454" s="102"/>
    </row>
    <row r="7455" spans="4:4" x14ac:dyDescent="0.25">
      <c r="D7455" s="102"/>
    </row>
    <row r="7456" spans="4:4" x14ac:dyDescent="0.25">
      <c r="D7456" s="102"/>
    </row>
    <row r="7457" spans="4:4" x14ac:dyDescent="0.25">
      <c r="D7457" s="102"/>
    </row>
    <row r="7458" spans="4:4" x14ac:dyDescent="0.25">
      <c r="D7458" s="102"/>
    </row>
    <row r="7459" spans="4:4" x14ac:dyDescent="0.25">
      <c r="D7459" s="102"/>
    </row>
    <row r="7460" spans="4:4" x14ac:dyDescent="0.25">
      <c r="D7460" s="102"/>
    </row>
    <row r="7461" spans="4:4" x14ac:dyDescent="0.25">
      <c r="D7461" s="102"/>
    </row>
    <row r="7462" spans="4:4" x14ac:dyDescent="0.25">
      <c r="D7462" s="102"/>
    </row>
    <row r="7463" spans="4:4" x14ac:dyDescent="0.25">
      <c r="D7463" s="102"/>
    </row>
    <row r="7464" spans="4:4" x14ac:dyDescent="0.25">
      <c r="D7464" s="102"/>
    </row>
    <row r="7465" spans="4:4" x14ac:dyDescent="0.25">
      <c r="D7465" s="102"/>
    </row>
    <row r="7466" spans="4:4" x14ac:dyDescent="0.25">
      <c r="D7466" s="102"/>
    </row>
    <row r="7467" spans="4:4" x14ac:dyDescent="0.25">
      <c r="D7467" s="102"/>
    </row>
    <row r="7468" spans="4:4" x14ac:dyDescent="0.25">
      <c r="D7468" s="102"/>
    </row>
    <row r="7469" spans="4:4" x14ac:dyDescent="0.25">
      <c r="D7469" s="102"/>
    </row>
    <row r="7470" spans="4:4" x14ac:dyDescent="0.25">
      <c r="D7470" s="102"/>
    </row>
    <row r="7471" spans="4:4" x14ac:dyDescent="0.25">
      <c r="D7471" s="102"/>
    </row>
    <row r="7472" spans="4:4" x14ac:dyDescent="0.25">
      <c r="D7472" s="102"/>
    </row>
    <row r="7473" spans="4:4" x14ac:dyDescent="0.25">
      <c r="D7473" s="102"/>
    </row>
    <row r="7474" spans="4:4" x14ac:dyDescent="0.25">
      <c r="D7474" s="102"/>
    </row>
    <row r="7475" spans="4:4" x14ac:dyDescent="0.25">
      <c r="D7475" s="102"/>
    </row>
    <row r="7476" spans="4:4" x14ac:dyDescent="0.25">
      <c r="D7476" s="102"/>
    </row>
    <row r="7477" spans="4:4" x14ac:dyDescent="0.25">
      <c r="D7477" s="102"/>
    </row>
    <row r="7478" spans="4:4" x14ac:dyDescent="0.25">
      <c r="D7478" s="102"/>
    </row>
    <row r="7479" spans="4:4" x14ac:dyDescent="0.25">
      <c r="D7479" s="102"/>
    </row>
    <row r="7480" spans="4:4" x14ac:dyDescent="0.25">
      <c r="D7480" s="102"/>
    </row>
    <row r="7481" spans="4:4" x14ac:dyDescent="0.25">
      <c r="D7481" s="102"/>
    </row>
    <row r="7482" spans="4:4" x14ac:dyDescent="0.25">
      <c r="D7482" s="102"/>
    </row>
    <row r="7483" spans="4:4" x14ac:dyDescent="0.25">
      <c r="D7483" s="102"/>
    </row>
    <row r="7484" spans="4:4" x14ac:dyDescent="0.25">
      <c r="D7484" s="102"/>
    </row>
    <row r="7485" spans="4:4" x14ac:dyDescent="0.25">
      <c r="D7485" s="102"/>
    </row>
    <row r="7486" spans="4:4" x14ac:dyDescent="0.25">
      <c r="D7486" s="102"/>
    </row>
    <row r="7487" spans="4:4" x14ac:dyDescent="0.25">
      <c r="D7487" s="102"/>
    </row>
    <row r="7488" spans="4:4" x14ac:dyDescent="0.25">
      <c r="D7488" s="102"/>
    </row>
    <row r="7489" spans="4:4" x14ac:dyDescent="0.25">
      <c r="D7489" s="102"/>
    </row>
    <row r="7490" spans="4:4" x14ac:dyDescent="0.25">
      <c r="D7490" s="102"/>
    </row>
    <row r="7491" spans="4:4" x14ac:dyDescent="0.25">
      <c r="D7491" s="102"/>
    </row>
    <row r="7492" spans="4:4" x14ac:dyDescent="0.25">
      <c r="D7492" s="102"/>
    </row>
    <row r="7493" spans="4:4" x14ac:dyDescent="0.25">
      <c r="D7493" s="102"/>
    </row>
    <row r="7494" spans="4:4" x14ac:dyDescent="0.25">
      <c r="D7494" s="102"/>
    </row>
    <row r="7495" spans="4:4" x14ac:dyDescent="0.25">
      <c r="D7495" s="102"/>
    </row>
    <row r="7496" spans="4:4" x14ac:dyDescent="0.25">
      <c r="D7496" s="102"/>
    </row>
    <row r="7497" spans="4:4" x14ac:dyDescent="0.25">
      <c r="D7497" s="102"/>
    </row>
    <row r="7498" spans="4:4" x14ac:dyDescent="0.25">
      <c r="D7498" s="102"/>
    </row>
    <row r="7499" spans="4:4" x14ac:dyDescent="0.25">
      <c r="D7499" s="102"/>
    </row>
    <row r="7500" spans="4:4" x14ac:dyDescent="0.25">
      <c r="D7500" s="102"/>
    </row>
    <row r="7501" spans="4:4" x14ac:dyDescent="0.25">
      <c r="D7501" s="102"/>
    </row>
    <row r="7502" spans="4:4" x14ac:dyDescent="0.25">
      <c r="D7502" s="102"/>
    </row>
    <row r="7503" spans="4:4" x14ac:dyDescent="0.25">
      <c r="D7503" s="102"/>
    </row>
    <row r="7504" spans="4:4" x14ac:dyDescent="0.25">
      <c r="D7504" s="102"/>
    </row>
    <row r="7505" spans="4:4" x14ac:dyDescent="0.25">
      <c r="D7505" s="102"/>
    </row>
    <row r="7506" spans="4:4" x14ac:dyDescent="0.25">
      <c r="D7506" s="102"/>
    </row>
    <row r="7507" spans="4:4" x14ac:dyDescent="0.25">
      <c r="D7507" s="102"/>
    </row>
    <row r="7508" spans="4:4" x14ac:dyDescent="0.25">
      <c r="D7508" s="102"/>
    </row>
    <row r="7509" spans="4:4" x14ac:dyDescent="0.25">
      <c r="D7509" s="102"/>
    </row>
    <row r="7510" spans="4:4" x14ac:dyDescent="0.25">
      <c r="D7510" s="102"/>
    </row>
    <row r="7511" spans="4:4" x14ac:dyDescent="0.25">
      <c r="D7511" s="102"/>
    </row>
    <row r="7512" spans="4:4" x14ac:dyDescent="0.25">
      <c r="D7512" s="102"/>
    </row>
    <row r="7513" spans="4:4" x14ac:dyDescent="0.25">
      <c r="D7513" s="102"/>
    </row>
    <row r="7514" spans="4:4" x14ac:dyDescent="0.25">
      <c r="D7514" s="102"/>
    </row>
    <row r="7515" spans="4:4" x14ac:dyDescent="0.25">
      <c r="D7515" s="102"/>
    </row>
    <row r="7516" spans="4:4" x14ac:dyDescent="0.25">
      <c r="D7516" s="102"/>
    </row>
    <row r="7517" spans="4:4" x14ac:dyDescent="0.25">
      <c r="D7517" s="102"/>
    </row>
    <row r="7518" spans="4:4" x14ac:dyDescent="0.25">
      <c r="D7518" s="102"/>
    </row>
    <row r="7519" spans="4:4" x14ac:dyDescent="0.25">
      <c r="D7519" s="102"/>
    </row>
    <row r="7520" spans="4:4" x14ac:dyDescent="0.25">
      <c r="D7520" s="102"/>
    </row>
    <row r="7521" spans="4:4" x14ac:dyDescent="0.25">
      <c r="D7521" s="102"/>
    </row>
    <row r="7522" spans="4:4" x14ac:dyDescent="0.25">
      <c r="D7522" s="102"/>
    </row>
    <row r="7523" spans="4:4" x14ac:dyDescent="0.25">
      <c r="D7523" s="102"/>
    </row>
    <row r="7524" spans="4:4" x14ac:dyDescent="0.25">
      <c r="D7524" s="102"/>
    </row>
    <row r="7525" spans="4:4" x14ac:dyDescent="0.25">
      <c r="D7525" s="102"/>
    </row>
    <row r="7526" spans="4:4" x14ac:dyDescent="0.25">
      <c r="D7526" s="102"/>
    </row>
    <row r="7527" spans="4:4" x14ac:dyDescent="0.25">
      <c r="D7527" s="102"/>
    </row>
    <row r="7528" spans="4:4" x14ac:dyDescent="0.25">
      <c r="D7528" s="102"/>
    </row>
    <row r="7529" spans="4:4" x14ac:dyDescent="0.25">
      <c r="D7529" s="102"/>
    </row>
    <row r="7530" spans="4:4" x14ac:dyDescent="0.25">
      <c r="D7530" s="102"/>
    </row>
    <row r="7531" spans="4:4" x14ac:dyDescent="0.25">
      <c r="D7531" s="102"/>
    </row>
    <row r="7532" spans="4:4" x14ac:dyDescent="0.25">
      <c r="D7532" s="102"/>
    </row>
    <row r="7533" spans="4:4" x14ac:dyDescent="0.25">
      <c r="D7533" s="102"/>
    </row>
    <row r="7534" spans="4:4" x14ac:dyDescent="0.25">
      <c r="D7534" s="102"/>
    </row>
    <row r="7535" spans="4:4" x14ac:dyDescent="0.25">
      <c r="D7535" s="102"/>
    </row>
    <row r="7536" spans="4:4" x14ac:dyDescent="0.25">
      <c r="D7536" s="102"/>
    </row>
    <row r="7537" spans="4:4" x14ac:dyDescent="0.25">
      <c r="D7537" s="102"/>
    </row>
    <row r="7538" spans="4:4" x14ac:dyDescent="0.25">
      <c r="D7538" s="102"/>
    </row>
    <row r="7539" spans="4:4" x14ac:dyDescent="0.25">
      <c r="D7539" s="102"/>
    </row>
    <row r="7540" spans="4:4" x14ac:dyDescent="0.25">
      <c r="D7540" s="102"/>
    </row>
    <row r="7541" spans="4:4" x14ac:dyDescent="0.25">
      <c r="D7541" s="102"/>
    </row>
    <row r="7542" spans="4:4" x14ac:dyDescent="0.25">
      <c r="D7542" s="102"/>
    </row>
    <row r="7543" spans="4:4" x14ac:dyDescent="0.25">
      <c r="D7543" s="102"/>
    </row>
    <row r="7544" spans="4:4" x14ac:dyDescent="0.25">
      <c r="D7544" s="102"/>
    </row>
    <row r="7545" spans="4:4" x14ac:dyDescent="0.25">
      <c r="D7545" s="102"/>
    </row>
    <row r="7546" spans="4:4" x14ac:dyDescent="0.25">
      <c r="D7546" s="102"/>
    </row>
    <row r="7547" spans="4:4" x14ac:dyDescent="0.25">
      <c r="D7547" s="102"/>
    </row>
    <row r="7548" spans="4:4" x14ac:dyDescent="0.25">
      <c r="D7548" s="102"/>
    </row>
    <row r="7549" spans="4:4" x14ac:dyDescent="0.25">
      <c r="D7549" s="102"/>
    </row>
    <row r="7550" spans="4:4" x14ac:dyDescent="0.25">
      <c r="D7550" s="102"/>
    </row>
    <row r="7551" spans="4:4" x14ac:dyDescent="0.25">
      <c r="D7551" s="102"/>
    </row>
    <row r="7552" spans="4:4" x14ac:dyDescent="0.25">
      <c r="D7552" s="102"/>
    </row>
    <row r="7553" spans="4:4" x14ac:dyDescent="0.25">
      <c r="D7553" s="102"/>
    </row>
    <row r="7554" spans="4:4" x14ac:dyDescent="0.25">
      <c r="D7554" s="102"/>
    </row>
    <row r="7555" spans="4:4" x14ac:dyDescent="0.25">
      <c r="D7555" s="102"/>
    </row>
    <row r="7556" spans="4:4" x14ac:dyDescent="0.25">
      <c r="D7556" s="102"/>
    </row>
    <row r="7557" spans="4:4" x14ac:dyDescent="0.25">
      <c r="D7557" s="102"/>
    </row>
    <row r="7558" spans="4:4" x14ac:dyDescent="0.25">
      <c r="D7558" s="102"/>
    </row>
    <row r="7559" spans="4:4" x14ac:dyDescent="0.25">
      <c r="D7559" s="102"/>
    </row>
    <row r="7560" spans="4:4" x14ac:dyDescent="0.25">
      <c r="D7560" s="102"/>
    </row>
    <row r="7561" spans="4:4" x14ac:dyDescent="0.25">
      <c r="D7561" s="102"/>
    </row>
    <row r="7562" spans="4:4" x14ac:dyDescent="0.25">
      <c r="D7562" s="102"/>
    </row>
    <row r="7563" spans="4:4" x14ac:dyDescent="0.25">
      <c r="D7563" s="102"/>
    </row>
    <row r="7564" spans="4:4" x14ac:dyDescent="0.25">
      <c r="D7564" s="102"/>
    </row>
    <row r="7565" spans="4:4" x14ac:dyDescent="0.25">
      <c r="D7565" s="102"/>
    </row>
    <row r="7566" spans="4:4" x14ac:dyDescent="0.25">
      <c r="D7566" s="102"/>
    </row>
    <row r="7567" spans="4:4" x14ac:dyDescent="0.25">
      <c r="D7567" s="102"/>
    </row>
    <row r="7568" spans="4:4" x14ac:dyDescent="0.25">
      <c r="D7568" s="102"/>
    </row>
    <row r="7569" spans="4:4" x14ac:dyDescent="0.25">
      <c r="D7569" s="102"/>
    </row>
    <row r="7570" spans="4:4" x14ac:dyDescent="0.25">
      <c r="D7570" s="102"/>
    </row>
    <row r="7571" spans="4:4" x14ac:dyDescent="0.25">
      <c r="D7571" s="102"/>
    </row>
    <row r="7572" spans="4:4" x14ac:dyDescent="0.25">
      <c r="D7572" s="102"/>
    </row>
    <row r="7573" spans="4:4" x14ac:dyDescent="0.25">
      <c r="D7573" s="102"/>
    </row>
    <row r="7574" spans="4:4" x14ac:dyDescent="0.25">
      <c r="D7574" s="102"/>
    </row>
    <row r="7575" spans="4:4" x14ac:dyDescent="0.25">
      <c r="D7575" s="102"/>
    </row>
    <row r="7576" spans="4:4" x14ac:dyDescent="0.25">
      <c r="D7576" s="102"/>
    </row>
    <row r="7577" spans="4:4" x14ac:dyDescent="0.25">
      <c r="D7577" s="102"/>
    </row>
    <row r="7578" spans="4:4" x14ac:dyDescent="0.25">
      <c r="D7578" s="102"/>
    </row>
    <row r="7579" spans="4:4" x14ac:dyDescent="0.25">
      <c r="D7579" s="102"/>
    </row>
    <row r="7580" spans="4:4" x14ac:dyDescent="0.25">
      <c r="D7580" s="102"/>
    </row>
    <row r="7581" spans="4:4" x14ac:dyDescent="0.25">
      <c r="D7581" s="102"/>
    </row>
    <row r="7582" spans="4:4" x14ac:dyDescent="0.25">
      <c r="D7582" s="102"/>
    </row>
    <row r="7583" spans="4:4" x14ac:dyDescent="0.25">
      <c r="D7583" s="102"/>
    </row>
    <row r="7584" spans="4:4" x14ac:dyDescent="0.25">
      <c r="D7584" s="102"/>
    </row>
    <row r="7585" spans="4:4" x14ac:dyDescent="0.25">
      <c r="D7585" s="102"/>
    </row>
    <row r="7586" spans="4:4" x14ac:dyDescent="0.25">
      <c r="D7586" s="102"/>
    </row>
    <row r="7587" spans="4:4" x14ac:dyDescent="0.25">
      <c r="D7587" s="102"/>
    </row>
    <row r="7588" spans="4:4" x14ac:dyDescent="0.25">
      <c r="D7588" s="102"/>
    </row>
    <row r="7589" spans="4:4" x14ac:dyDescent="0.25">
      <c r="D7589" s="102"/>
    </row>
    <row r="7590" spans="4:4" x14ac:dyDescent="0.25">
      <c r="D7590" s="102"/>
    </row>
    <row r="7591" spans="4:4" x14ac:dyDescent="0.25">
      <c r="D7591" s="102"/>
    </row>
    <row r="7592" spans="4:4" x14ac:dyDescent="0.25">
      <c r="D7592" s="102"/>
    </row>
    <row r="7593" spans="4:4" x14ac:dyDescent="0.25">
      <c r="D7593" s="102"/>
    </row>
    <row r="7594" spans="4:4" x14ac:dyDescent="0.25">
      <c r="D7594" s="102"/>
    </row>
    <row r="7595" spans="4:4" x14ac:dyDescent="0.25">
      <c r="D7595" s="102"/>
    </row>
    <row r="7596" spans="4:4" x14ac:dyDescent="0.25">
      <c r="D7596" s="102"/>
    </row>
    <row r="7597" spans="4:4" x14ac:dyDescent="0.25">
      <c r="D7597" s="102"/>
    </row>
    <row r="7598" spans="4:4" x14ac:dyDescent="0.25">
      <c r="D7598" s="102"/>
    </row>
    <row r="7599" spans="4:4" x14ac:dyDescent="0.25">
      <c r="D7599" s="102"/>
    </row>
    <row r="7600" spans="4:4" x14ac:dyDescent="0.25">
      <c r="D7600" s="102"/>
    </row>
    <row r="7601" spans="4:4" x14ac:dyDescent="0.25">
      <c r="D7601" s="102"/>
    </row>
    <row r="7602" spans="4:4" x14ac:dyDescent="0.25">
      <c r="D7602" s="102"/>
    </row>
    <row r="7603" spans="4:4" x14ac:dyDescent="0.25">
      <c r="D7603" s="102"/>
    </row>
    <row r="7604" spans="4:4" x14ac:dyDescent="0.25">
      <c r="D7604" s="102"/>
    </row>
    <row r="7605" spans="4:4" x14ac:dyDescent="0.25">
      <c r="D7605" s="102"/>
    </row>
    <row r="7606" spans="4:4" x14ac:dyDescent="0.25">
      <c r="D7606" s="102"/>
    </row>
    <row r="7607" spans="4:4" x14ac:dyDescent="0.25">
      <c r="D7607" s="102"/>
    </row>
    <row r="7608" spans="4:4" x14ac:dyDescent="0.25">
      <c r="D7608" s="102"/>
    </row>
    <row r="7609" spans="4:4" x14ac:dyDescent="0.25">
      <c r="D7609" s="102"/>
    </row>
    <row r="7610" spans="4:4" x14ac:dyDescent="0.25">
      <c r="D7610" s="102"/>
    </row>
    <row r="7611" spans="4:4" x14ac:dyDescent="0.25">
      <c r="D7611" s="102"/>
    </row>
    <row r="7612" spans="4:4" x14ac:dyDescent="0.25">
      <c r="D7612" s="102"/>
    </row>
    <row r="7613" spans="4:4" x14ac:dyDescent="0.25">
      <c r="D7613" s="102"/>
    </row>
    <row r="7614" spans="4:4" x14ac:dyDescent="0.25">
      <c r="D7614" s="102"/>
    </row>
    <row r="7615" spans="4:4" x14ac:dyDescent="0.25">
      <c r="D7615" s="102"/>
    </row>
    <row r="7616" spans="4:4" x14ac:dyDescent="0.25">
      <c r="D7616" s="102"/>
    </row>
    <row r="7617" spans="4:4" x14ac:dyDescent="0.25">
      <c r="D7617" s="102"/>
    </row>
    <row r="7618" spans="4:4" x14ac:dyDescent="0.25">
      <c r="D7618" s="102"/>
    </row>
    <row r="7619" spans="4:4" x14ac:dyDescent="0.25">
      <c r="D7619" s="102"/>
    </row>
    <row r="7620" spans="4:4" x14ac:dyDescent="0.25">
      <c r="D7620" s="102"/>
    </row>
    <row r="7621" spans="4:4" x14ac:dyDescent="0.25">
      <c r="D7621" s="102"/>
    </row>
    <row r="7622" spans="4:4" x14ac:dyDescent="0.25">
      <c r="D7622" s="102"/>
    </row>
    <row r="7623" spans="4:4" x14ac:dyDescent="0.25">
      <c r="D7623" s="102"/>
    </row>
    <row r="7624" spans="4:4" x14ac:dyDescent="0.25">
      <c r="D7624" s="102"/>
    </row>
    <row r="7625" spans="4:4" x14ac:dyDescent="0.25">
      <c r="D7625" s="102"/>
    </row>
    <row r="7626" spans="4:4" x14ac:dyDescent="0.25">
      <c r="D7626" s="102"/>
    </row>
    <row r="7627" spans="4:4" x14ac:dyDescent="0.25">
      <c r="D7627" s="102"/>
    </row>
    <row r="7628" spans="4:4" x14ac:dyDescent="0.25">
      <c r="D7628" s="102"/>
    </row>
    <row r="7629" spans="4:4" x14ac:dyDescent="0.25">
      <c r="D7629" s="102"/>
    </row>
    <row r="7630" spans="4:4" x14ac:dyDescent="0.25">
      <c r="D7630" s="102"/>
    </row>
    <row r="7631" spans="4:4" x14ac:dyDescent="0.25">
      <c r="D7631" s="102"/>
    </row>
    <row r="7632" spans="4:4" x14ac:dyDescent="0.25">
      <c r="D7632" s="102"/>
    </row>
    <row r="7633" spans="4:4" x14ac:dyDescent="0.25">
      <c r="D7633" s="102"/>
    </row>
    <row r="7634" spans="4:4" x14ac:dyDescent="0.25">
      <c r="D7634" s="102"/>
    </row>
    <row r="7635" spans="4:4" x14ac:dyDescent="0.25">
      <c r="D7635" s="102"/>
    </row>
    <row r="7636" spans="4:4" x14ac:dyDescent="0.25">
      <c r="D7636" s="102"/>
    </row>
    <row r="7637" spans="4:4" x14ac:dyDescent="0.25">
      <c r="D7637" s="102"/>
    </row>
    <row r="7638" spans="4:4" x14ac:dyDescent="0.25">
      <c r="D7638" s="102"/>
    </row>
    <row r="7639" spans="4:4" x14ac:dyDescent="0.25">
      <c r="D7639" s="102"/>
    </row>
    <row r="7640" spans="4:4" x14ac:dyDescent="0.25">
      <c r="D7640" s="102"/>
    </row>
    <row r="7641" spans="4:4" x14ac:dyDescent="0.25">
      <c r="D7641" s="102"/>
    </row>
    <row r="7642" spans="4:4" x14ac:dyDescent="0.25">
      <c r="D7642" s="102"/>
    </row>
    <row r="7643" spans="4:4" x14ac:dyDescent="0.25">
      <c r="D7643" s="102"/>
    </row>
    <row r="7644" spans="4:4" x14ac:dyDescent="0.25">
      <c r="D7644" s="102"/>
    </row>
    <row r="7645" spans="4:4" x14ac:dyDescent="0.25">
      <c r="D7645" s="102"/>
    </row>
    <row r="7646" spans="4:4" x14ac:dyDescent="0.25">
      <c r="D7646" s="102"/>
    </row>
    <row r="7647" spans="4:4" x14ac:dyDescent="0.25">
      <c r="D7647" s="102"/>
    </row>
    <row r="7648" spans="4:4" x14ac:dyDescent="0.25">
      <c r="D7648" s="102"/>
    </row>
    <row r="7649" spans="4:4" x14ac:dyDescent="0.25">
      <c r="D7649" s="102"/>
    </row>
    <row r="7650" spans="4:4" x14ac:dyDescent="0.25">
      <c r="D7650" s="102"/>
    </row>
    <row r="7651" spans="4:4" x14ac:dyDescent="0.25">
      <c r="D7651" s="102"/>
    </row>
    <row r="7652" spans="4:4" x14ac:dyDescent="0.25">
      <c r="D7652" s="102"/>
    </row>
    <row r="7653" spans="4:4" x14ac:dyDescent="0.25">
      <c r="D7653" s="102"/>
    </row>
    <row r="7654" spans="4:4" x14ac:dyDescent="0.25">
      <c r="D7654" s="102"/>
    </row>
    <row r="7655" spans="4:4" x14ac:dyDescent="0.25">
      <c r="D7655" s="102"/>
    </row>
    <row r="7656" spans="4:4" x14ac:dyDescent="0.25">
      <c r="D7656" s="102"/>
    </row>
    <row r="7657" spans="4:4" x14ac:dyDescent="0.25">
      <c r="D7657" s="102"/>
    </row>
    <row r="7658" spans="4:4" x14ac:dyDescent="0.25">
      <c r="D7658" s="102"/>
    </row>
    <row r="7659" spans="4:4" x14ac:dyDescent="0.25">
      <c r="D7659" s="102"/>
    </row>
    <row r="7660" spans="4:4" x14ac:dyDescent="0.25">
      <c r="D7660" s="102"/>
    </row>
    <row r="7661" spans="4:4" x14ac:dyDescent="0.25">
      <c r="D7661" s="102"/>
    </row>
    <row r="7662" spans="4:4" x14ac:dyDescent="0.25">
      <c r="D7662" s="102"/>
    </row>
    <row r="7663" spans="4:4" x14ac:dyDescent="0.25">
      <c r="D7663" s="102"/>
    </row>
    <row r="7664" spans="4:4" x14ac:dyDescent="0.25">
      <c r="D7664" s="102"/>
    </row>
    <row r="7665" spans="4:4" x14ac:dyDescent="0.25">
      <c r="D7665" s="102"/>
    </row>
    <row r="7666" spans="4:4" x14ac:dyDescent="0.25">
      <c r="D7666" s="102"/>
    </row>
    <row r="7667" spans="4:4" x14ac:dyDescent="0.25">
      <c r="D7667" s="102"/>
    </row>
    <row r="7668" spans="4:4" x14ac:dyDescent="0.25">
      <c r="D7668" s="102"/>
    </row>
    <row r="7669" spans="4:4" x14ac:dyDescent="0.25">
      <c r="D7669" s="102"/>
    </row>
    <row r="7670" spans="4:4" x14ac:dyDescent="0.25">
      <c r="D7670" s="102"/>
    </row>
    <row r="7671" spans="4:4" x14ac:dyDescent="0.25">
      <c r="D7671" s="102"/>
    </row>
    <row r="7672" spans="4:4" x14ac:dyDescent="0.25">
      <c r="D7672" s="102"/>
    </row>
    <row r="7673" spans="4:4" x14ac:dyDescent="0.25">
      <c r="D7673" s="102"/>
    </row>
    <row r="7674" spans="4:4" x14ac:dyDescent="0.25">
      <c r="D7674" s="102"/>
    </row>
    <row r="7675" spans="4:4" x14ac:dyDescent="0.25">
      <c r="D7675" s="102"/>
    </row>
    <row r="7676" spans="4:4" x14ac:dyDescent="0.25">
      <c r="D7676" s="102"/>
    </row>
    <row r="7677" spans="4:4" x14ac:dyDescent="0.25">
      <c r="D7677" s="102"/>
    </row>
    <row r="7678" spans="4:4" x14ac:dyDescent="0.25">
      <c r="D7678" s="102"/>
    </row>
    <row r="7679" spans="4:4" x14ac:dyDescent="0.25">
      <c r="D7679" s="102"/>
    </row>
    <row r="7680" spans="4:4" x14ac:dyDescent="0.25">
      <c r="D7680" s="102"/>
    </row>
    <row r="7681" spans="4:4" x14ac:dyDescent="0.25">
      <c r="D7681" s="102"/>
    </row>
    <row r="7682" spans="4:4" x14ac:dyDescent="0.25">
      <c r="D7682" s="102"/>
    </row>
    <row r="7683" spans="4:4" x14ac:dyDescent="0.25">
      <c r="D7683" s="102"/>
    </row>
    <row r="7684" spans="4:4" x14ac:dyDescent="0.25">
      <c r="D7684" s="102"/>
    </row>
    <row r="7685" spans="4:4" x14ac:dyDescent="0.25">
      <c r="D7685" s="102"/>
    </row>
    <row r="7686" spans="4:4" x14ac:dyDescent="0.25">
      <c r="D7686" s="102"/>
    </row>
    <row r="7687" spans="4:4" x14ac:dyDescent="0.25">
      <c r="D7687" s="102"/>
    </row>
    <row r="7688" spans="4:4" x14ac:dyDescent="0.25">
      <c r="D7688" s="102"/>
    </row>
    <row r="7689" spans="4:4" x14ac:dyDescent="0.25">
      <c r="D7689" s="102"/>
    </row>
    <row r="7690" spans="4:4" x14ac:dyDescent="0.25">
      <c r="D7690" s="102"/>
    </row>
    <row r="7691" spans="4:4" x14ac:dyDescent="0.25">
      <c r="D7691" s="102"/>
    </row>
    <row r="7692" spans="4:4" x14ac:dyDescent="0.25">
      <c r="D7692" s="102"/>
    </row>
    <row r="7693" spans="4:4" x14ac:dyDescent="0.25">
      <c r="D7693" s="102"/>
    </row>
    <row r="7694" spans="4:4" x14ac:dyDescent="0.25">
      <c r="D7694" s="102"/>
    </row>
    <row r="7695" spans="4:4" x14ac:dyDescent="0.25">
      <c r="D7695" s="102"/>
    </row>
    <row r="7696" spans="4:4" x14ac:dyDescent="0.25">
      <c r="D7696" s="102"/>
    </row>
    <row r="7697" spans="4:4" x14ac:dyDescent="0.25">
      <c r="D7697" s="102"/>
    </row>
    <row r="7698" spans="4:4" x14ac:dyDescent="0.25">
      <c r="D7698" s="102"/>
    </row>
    <row r="7699" spans="4:4" x14ac:dyDescent="0.25">
      <c r="D7699" s="102"/>
    </row>
    <row r="7700" spans="4:4" x14ac:dyDescent="0.25">
      <c r="D7700" s="102"/>
    </row>
    <row r="7701" spans="4:4" x14ac:dyDescent="0.25">
      <c r="D7701" s="102"/>
    </row>
    <row r="7702" spans="4:4" x14ac:dyDescent="0.25">
      <c r="D7702" s="102"/>
    </row>
    <row r="7703" spans="4:4" x14ac:dyDescent="0.25">
      <c r="D7703" s="102"/>
    </row>
    <row r="7704" spans="4:4" x14ac:dyDescent="0.25">
      <c r="D7704" s="102"/>
    </row>
    <row r="7705" spans="4:4" x14ac:dyDescent="0.25">
      <c r="D7705" s="102"/>
    </row>
    <row r="7706" spans="4:4" x14ac:dyDescent="0.25">
      <c r="D7706" s="102"/>
    </row>
    <row r="7707" spans="4:4" x14ac:dyDescent="0.25">
      <c r="D7707" s="102"/>
    </row>
    <row r="7708" spans="4:4" x14ac:dyDescent="0.25">
      <c r="D7708" s="102"/>
    </row>
    <row r="7709" spans="4:4" x14ac:dyDescent="0.25">
      <c r="D7709" s="102"/>
    </row>
    <row r="7710" spans="4:4" x14ac:dyDescent="0.25">
      <c r="D7710" s="102"/>
    </row>
    <row r="7711" spans="4:4" x14ac:dyDescent="0.25">
      <c r="D7711" s="102"/>
    </row>
    <row r="7712" spans="4:4" x14ac:dyDescent="0.25">
      <c r="D7712" s="102"/>
    </row>
    <row r="7713" spans="4:4" x14ac:dyDescent="0.25">
      <c r="D7713" s="102"/>
    </row>
    <row r="7714" spans="4:4" x14ac:dyDescent="0.25">
      <c r="D7714" s="102"/>
    </row>
    <row r="7715" spans="4:4" x14ac:dyDescent="0.25">
      <c r="D7715" s="102"/>
    </row>
    <row r="7716" spans="4:4" x14ac:dyDescent="0.25">
      <c r="D7716" s="102"/>
    </row>
    <row r="7717" spans="4:4" x14ac:dyDescent="0.25">
      <c r="D7717" s="102"/>
    </row>
    <row r="7718" spans="4:4" x14ac:dyDescent="0.25">
      <c r="D7718" s="102"/>
    </row>
    <row r="7719" spans="4:4" x14ac:dyDescent="0.25">
      <c r="D7719" s="102"/>
    </row>
    <row r="7720" spans="4:4" x14ac:dyDescent="0.25">
      <c r="D7720" s="102"/>
    </row>
    <row r="7721" spans="4:4" x14ac:dyDescent="0.25">
      <c r="D7721" s="102"/>
    </row>
    <row r="7722" spans="4:4" x14ac:dyDescent="0.25">
      <c r="D7722" s="102"/>
    </row>
    <row r="7723" spans="4:4" x14ac:dyDescent="0.25">
      <c r="D7723" s="102"/>
    </row>
    <row r="7724" spans="4:4" x14ac:dyDescent="0.25">
      <c r="D7724" s="102"/>
    </row>
    <row r="7725" spans="4:4" x14ac:dyDescent="0.25">
      <c r="D7725" s="102"/>
    </row>
    <row r="7726" spans="4:4" x14ac:dyDescent="0.25">
      <c r="D7726" s="102"/>
    </row>
    <row r="7727" spans="4:4" x14ac:dyDescent="0.25">
      <c r="D7727" s="102"/>
    </row>
    <row r="7728" spans="4:4" x14ac:dyDescent="0.25">
      <c r="D7728" s="102"/>
    </row>
    <row r="7729" spans="4:4" x14ac:dyDescent="0.25">
      <c r="D7729" s="102"/>
    </row>
    <row r="7730" spans="4:4" x14ac:dyDescent="0.25">
      <c r="D7730" s="102"/>
    </row>
    <row r="7731" spans="4:4" x14ac:dyDescent="0.25">
      <c r="D7731" s="102"/>
    </row>
    <row r="7732" spans="4:4" x14ac:dyDescent="0.25">
      <c r="D7732" s="102"/>
    </row>
    <row r="7733" spans="4:4" x14ac:dyDescent="0.25">
      <c r="D7733" s="102"/>
    </row>
    <row r="7734" spans="4:4" x14ac:dyDescent="0.25">
      <c r="D7734" s="102"/>
    </row>
    <row r="7735" spans="4:4" x14ac:dyDescent="0.25">
      <c r="D7735" s="102"/>
    </row>
    <row r="7736" spans="4:4" x14ac:dyDescent="0.25">
      <c r="D7736" s="102"/>
    </row>
    <row r="7737" spans="4:4" x14ac:dyDescent="0.25">
      <c r="D7737" s="102"/>
    </row>
    <row r="7738" spans="4:4" x14ac:dyDescent="0.25">
      <c r="D7738" s="102"/>
    </row>
    <row r="7739" spans="4:4" x14ac:dyDescent="0.25">
      <c r="D7739" s="102"/>
    </row>
    <row r="7740" spans="4:4" x14ac:dyDescent="0.25">
      <c r="D7740" s="102"/>
    </row>
    <row r="7741" spans="4:4" x14ac:dyDescent="0.25">
      <c r="D7741" s="102"/>
    </row>
    <row r="7742" spans="4:4" x14ac:dyDescent="0.25">
      <c r="D7742" s="102"/>
    </row>
    <row r="7743" spans="4:4" x14ac:dyDescent="0.25">
      <c r="D7743" s="102"/>
    </row>
    <row r="7744" spans="4:4" x14ac:dyDescent="0.25">
      <c r="D7744" s="102"/>
    </row>
    <row r="7745" spans="4:4" x14ac:dyDescent="0.25">
      <c r="D7745" s="102"/>
    </row>
    <row r="7746" spans="4:4" x14ac:dyDescent="0.25">
      <c r="D7746" s="102"/>
    </row>
    <row r="7747" spans="4:4" x14ac:dyDescent="0.25">
      <c r="D7747" s="102"/>
    </row>
    <row r="7748" spans="4:4" x14ac:dyDescent="0.25">
      <c r="D7748" s="102"/>
    </row>
    <row r="7749" spans="4:4" x14ac:dyDescent="0.25">
      <c r="D7749" s="102"/>
    </row>
    <row r="7750" spans="4:4" x14ac:dyDescent="0.25">
      <c r="D7750" s="102"/>
    </row>
    <row r="7751" spans="4:4" x14ac:dyDescent="0.25">
      <c r="D7751" s="102"/>
    </row>
    <row r="7752" spans="4:4" x14ac:dyDescent="0.25">
      <c r="D7752" s="102"/>
    </row>
    <row r="7753" spans="4:4" x14ac:dyDescent="0.25">
      <c r="D7753" s="102"/>
    </row>
    <row r="7754" spans="4:4" x14ac:dyDescent="0.25">
      <c r="D7754" s="102"/>
    </row>
    <row r="7755" spans="4:4" x14ac:dyDescent="0.25">
      <c r="D7755" s="102"/>
    </row>
    <row r="7756" spans="4:4" x14ac:dyDescent="0.25">
      <c r="D7756" s="102"/>
    </row>
    <row r="7757" spans="4:4" x14ac:dyDescent="0.25">
      <c r="D7757" s="102"/>
    </row>
    <row r="7758" spans="4:4" x14ac:dyDescent="0.25">
      <c r="D7758" s="102"/>
    </row>
    <row r="7759" spans="4:4" x14ac:dyDescent="0.25">
      <c r="D7759" s="102"/>
    </row>
    <row r="7760" spans="4:4" x14ac:dyDescent="0.25">
      <c r="D7760" s="102"/>
    </row>
    <row r="7761" spans="4:4" x14ac:dyDescent="0.25">
      <c r="D7761" s="102"/>
    </row>
    <row r="7762" spans="4:4" x14ac:dyDescent="0.25">
      <c r="D7762" s="102"/>
    </row>
    <row r="7763" spans="4:4" x14ac:dyDescent="0.25">
      <c r="D7763" s="102"/>
    </row>
    <row r="7764" spans="4:4" x14ac:dyDescent="0.25">
      <c r="D7764" s="102"/>
    </row>
    <row r="7765" spans="4:4" x14ac:dyDescent="0.25">
      <c r="D7765" s="102"/>
    </row>
    <row r="7766" spans="4:4" x14ac:dyDescent="0.25">
      <c r="D7766" s="102"/>
    </row>
    <row r="7767" spans="4:4" x14ac:dyDescent="0.25">
      <c r="D7767" s="102"/>
    </row>
    <row r="7768" spans="4:4" x14ac:dyDescent="0.25">
      <c r="D7768" s="102"/>
    </row>
    <row r="7769" spans="4:4" x14ac:dyDescent="0.25">
      <c r="D7769" s="102"/>
    </row>
    <row r="7770" spans="4:4" x14ac:dyDescent="0.25">
      <c r="D7770" s="102"/>
    </row>
    <row r="7771" spans="4:4" x14ac:dyDescent="0.25">
      <c r="D7771" s="102"/>
    </row>
    <row r="7772" spans="4:4" x14ac:dyDescent="0.25">
      <c r="D7772" s="102"/>
    </row>
    <row r="7773" spans="4:4" x14ac:dyDescent="0.25">
      <c r="D7773" s="102"/>
    </row>
    <row r="7774" spans="4:4" x14ac:dyDescent="0.25">
      <c r="D7774" s="102"/>
    </row>
    <row r="7775" spans="4:4" x14ac:dyDescent="0.25">
      <c r="D7775" s="102"/>
    </row>
    <row r="7776" spans="4:4" x14ac:dyDescent="0.25">
      <c r="D7776" s="102"/>
    </row>
    <row r="7777" spans="4:4" x14ac:dyDescent="0.25">
      <c r="D7777" s="102"/>
    </row>
    <row r="7778" spans="4:4" x14ac:dyDescent="0.25">
      <c r="D7778" s="102"/>
    </row>
    <row r="7779" spans="4:4" x14ac:dyDescent="0.25">
      <c r="D7779" s="102"/>
    </row>
    <row r="7780" spans="4:4" x14ac:dyDescent="0.25">
      <c r="D7780" s="102"/>
    </row>
    <row r="7781" spans="4:4" x14ac:dyDescent="0.25">
      <c r="D7781" s="102"/>
    </row>
    <row r="7782" spans="4:4" x14ac:dyDescent="0.25">
      <c r="D7782" s="102"/>
    </row>
    <row r="7783" spans="4:4" x14ac:dyDescent="0.25">
      <c r="D7783" s="102"/>
    </row>
    <row r="7784" spans="4:4" x14ac:dyDescent="0.25">
      <c r="D7784" s="102"/>
    </row>
    <row r="7785" spans="4:4" x14ac:dyDescent="0.25">
      <c r="D7785" s="102"/>
    </row>
    <row r="7786" spans="4:4" x14ac:dyDescent="0.25">
      <c r="D7786" s="102"/>
    </row>
    <row r="7787" spans="4:4" x14ac:dyDescent="0.25">
      <c r="D7787" s="102"/>
    </row>
    <row r="7788" spans="4:4" x14ac:dyDescent="0.25">
      <c r="D7788" s="102"/>
    </row>
    <row r="7789" spans="4:4" x14ac:dyDescent="0.25">
      <c r="D7789" s="102"/>
    </row>
    <row r="7790" spans="4:4" x14ac:dyDescent="0.25">
      <c r="D7790" s="102"/>
    </row>
    <row r="7791" spans="4:4" x14ac:dyDescent="0.25">
      <c r="D7791" s="102"/>
    </row>
    <row r="7792" spans="4:4" x14ac:dyDescent="0.25">
      <c r="D7792" s="102"/>
    </row>
    <row r="7793" spans="4:4" x14ac:dyDescent="0.25">
      <c r="D7793" s="102"/>
    </row>
    <row r="7794" spans="4:4" x14ac:dyDescent="0.25">
      <c r="D7794" s="102"/>
    </row>
    <row r="7795" spans="4:4" x14ac:dyDescent="0.25">
      <c r="D7795" s="102"/>
    </row>
    <row r="7796" spans="4:4" x14ac:dyDescent="0.25">
      <c r="D7796" s="102"/>
    </row>
    <row r="7797" spans="4:4" x14ac:dyDescent="0.25">
      <c r="D7797" s="102"/>
    </row>
    <row r="7798" spans="4:4" x14ac:dyDescent="0.25">
      <c r="D7798" s="102"/>
    </row>
    <row r="7799" spans="4:4" x14ac:dyDescent="0.25">
      <c r="D7799" s="102"/>
    </row>
    <row r="7800" spans="4:4" x14ac:dyDescent="0.25">
      <c r="D7800" s="102"/>
    </row>
    <row r="7801" spans="4:4" x14ac:dyDescent="0.25">
      <c r="D7801" s="102"/>
    </row>
    <row r="7802" spans="4:4" x14ac:dyDescent="0.25">
      <c r="D7802" s="102"/>
    </row>
    <row r="7803" spans="4:4" x14ac:dyDescent="0.25">
      <c r="D7803" s="102"/>
    </row>
    <row r="7804" spans="4:4" x14ac:dyDescent="0.25">
      <c r="D7804" s="102"/>
    </row>
    <row r="7805" spans="4:4" x14ac:dyDescent="0.25">
      <c r="D7805" s="102"/>
    </row>
    <row r="7806" spans="4:4" x14ac:dyDescent="0.25">
      <c r="D7806" s="102"/>
    </row>
    <row r="7807" spans="4:4" x14ac:dyDescent="0.25">
      <c r="D7807" s="102"/>
    </row>
    <row r="7808" spans="4:4" x14ac:dyDescent="0.25">
      <c r="D7808" s="102"/>
    </row>
    <row r="7809" spans="4:4" x14ac:dyDescent="0.25">
      <c r="D7809" s="102"/>
    </row>
    <row r="7810" spans="4:4" x14ac:dyDescent="0.25">
      <c r="D7810" s="102"/>
    </row>
    <row r="7811" spans="4:4" x14ac:dyDescent="0.25">
      <c r="D7811" s="102"/>
    </row>
    <row r="7812" spans="4:4" x14ac:dyDescent="0.25">
      <c r="D7812" s="102"/>
    </row>
    <row r="7813" spans="4:4" x14ac:dyDescent="0.25">
      <c r="D7813" s="102"/>
    </row>
    <row r="7814" spans="4:4" x14ac:dyDescent="0.25">
      <c r="D7814" s="102"/>
    </row>
    <row r="7815" spans="4:4" x14ac:dyDescent="0.25">
      <c r="D7815" s="102"/>
    </row>
    <row r="7816" spans="4:4" x14ac:dyDescent="0.25">
      <c r="D7816" s="102"/>
    </row>
    <row r="7817" spans="4:4" x14ac:dyDescent="0.25">
      <c r="D7817" s="102"/>
    </row>
    <row r="7818" spans="4:4" x14ac:dyDescent="0.25">
      <c r="D7818" s="102"/>
    </row>
    <row r="7819" spans="4:4" x14ac:dyDescent="0.25">
      <c r="D7819" s="102"/>
    </row>
    <row r="7820" spans="4:4" x14ac:dyDescent="0.25">
      <c r="D7820" s="102"/>
    </row>
    <row r="7821" spans="4:4" x14ac:dyDescent="0.25">
      <c r="D7821" s="102"/>
    </row>
    <row r="7822" spans="4:4" x14ac:dyDescent="0.25">
      <c r="D7822" s="102"/>
    </row>
    <row r="7823" spans="4:4" x14ac:dyDescent="0.25">
      <c r="D7823" s="102"/>
    </row>
    <row r="7824" spans="4:4" x14ac:dyDescent="0.25">
      <c r="D7824" s="102"/>
    </row>
    <row r="7825" spans="4:4" x14ac:dyDescent="0.25">
      <c r="D7825" s="102"/>
    </row>
    <row r="7826" spans="4:4" x14ac:dyDescent="0.25">
      <c r="D7826" s="102"/>
    </row>
    <row r="7827" spans="4:4" x14ac:dyDescent="0.25">
      <c r="D7827" s="102"/>
    </row>
    <row r="7828" spans="4:4" x14ac:dyDescent="0.25">
      <c r="D7828" s="102"/>
    </row>
    <row r="7829" spans="4:4" x14ac:dyDescent="0.25">
      <c r="D7829" s="102"/>
    </row>
    <row r="7830" spans="4:4" x14ac:dyDescent="0.25">
      <c r="D7830" s="102"/>
    </row>
    <row r="7831" spans="4:4" x14ac:dyDescent="0.25">
      <c r="D7831" s="102"/>
    </row>
    <row r="7832" spans="4:4" x14ac:dyDescent="0.25">
      <c r="D7832" s="102"/>
    </row>
    <row r="7833" spans="4:4" x14ac:dyDescent="0.25">
      <c r="D7833" s="102"/>
    </row>
    <row r="7834" spans="4:4" x14ac:dyDescent="0.25">
      <c r="D7834" s="102"/>
    </row>
    <row r="7835" spans="4:4" x14ac:dyDescent="0.25">
      <c r="D7835" s="102"/>
    </row>
    <row r="7836" spans="4:4" x14ac:dyDescent="0.25">
      <c r="D7836" s="102"/>
    </row>
    <row r="7837" spans="4:4" x14ac:dyDescent="0.25">
      <c r="D7837" s="102"/>
    </row>
    <row r="7838" spans="4:4" x14ac:dyDescent="0.25">
      <c r="D7838" s="102"/>
    </row>
    <row r="7839" spans="4:4" x14ac:dyDescent="0.25">
      <c r="D7839" s="102"/>
    </row>
    <row r="7840" spans="4:4" x14ac:dyDescent="0.25">
      <c r="D7840" s="102"/>
    </row>
    <row r="7841" spans="4:4" x14ac:dyDescent="0.25">
      <c r="D7841" s="102"/>
    </row>
    <row r="7842" spans="4:4" x14ac:dyDescent="0.25">
      <c r="D7842" s="102"/>
    </row>
    <row r="7843" spans="4:4" x14ac:dyDescent="0.25">
      <c r="D7843" s="102"/>
    </row>
    <row r="7844" spans="4:4" x14ac:dyDescent="0.25">
      <c r="D7844" s="102"/>
    </row>
    <row r="7845" spans="4:4" x14ac:dyDescent="0.25">
      <c r="D7845" s="102"/>
    </row>
    <row r="7846" spans="4:4" x14ac:dyDescent="0.25">
      <c r="D7846" s="102"/>
    </row>
    <row r="7847" spans="4:4" x14ac:dyDescent="0.25">
      <c r="D7847" s="102"/>
    </row>
    <row r="7848" spans="4:4" x14ac:dyDescent="0.25">
      <c r="D7848" s="102"/>
    </row>
    <row r="7849" spans="4:4" x14ac:dyDescent="0.25">
      <c r="D7849" s="102"/>
    </row>
    <row r="7850" spans="4:4" x14ac:dyDescent="0.25">
      <c r="D7850" s="102"/>
    </row>
    <row r="7851" spans="4:4" x14ac:dyDescent="0.25">
      <c r="D7851" s="102"/>
    </row>
    <row r="7852" spans="4:4" x14ac:dyDescent="0.25">
      <c r="D7852" s="102"/>
    </row>
    <row r="7853" spans="4:4" x14ac:dyDescent="0.25">
      <c r="D7853" s="102"/>
    </row>
    <row r="7854" spans="4:4" x14ac:dyDescent="0.25">
      <c r="D7854" s="102"/>
    </row>
    <row r="7855" spans="4:4" x14ac:dyDescent="0.25">
      <c r="D7855" s="102"/>
    </row>
    <row r="7856" spans="4:4" x14ac:dyDescent="0.25">
      <c r="D7856" s="102"/>
    </row>
    <row r="7857" spans="4:4" x14ac:dyDescent="0.25">
      <c r="D7857" s="102"/>
    </row>
    <row r="7858" spans="4:4" x14ac:dyDescent="0.25">
      <c r="D7858" s="102"/>
    </row>
    <row r="7859" spans="4:4" x14ac:dyDescent="0.25">
      <c r="D7859" s="102"/>
    </row>
    <row r="7860" spans="4:4" x14ac:dyDescent="0.25">
      <c r="D7860" s="102"/>
    </row>
    <row r="7861" spans="4:4" x14ac:dyDescent="0.25">
      <c r="D7861" s="102"/>
    </row>
    <row r="7862" spans="4:4" x14ac:dyDescent="0.25">
      <c r="D7862" s="102"/>
    </row>
    <row r="7863" spans="4:4" x14ac:dyDescent="0.25">
      <c r="D7863" s="102"/>
    </row>
    <row r="7864" spans="4:4" x14ac:dyDescent="0.25">
      <c r="D7864" s="102"/>
    </row>
    <row r="7865" spans="4:4" x14ac:dyDescent="0.25">
      <c r="D7865" s="102"/>
    </row>
    <row r="7866" spans="4:4" x14ac:dyDescent="0.25">
      <c r="D7866" s="102"/>
    </row>
    <row r="7867" spans="4:4" x14ac:dyDescent="0.25">
      <c r="D7867" s="102"/>
    </row>
    <row r="7868" spans="4:4" x14ac:dyDescent="0.25">
      <c r="D7868" s="102"/>
    </row>
    <row r="7869" spans="4:4" x14ac:dyDescent="0.25">
      <c r="D7869" s="102"/>
    </row>
    <row r="7870" spans="4:4" x14ac:dyDescent="0.25">
      <c r="D7870" s="102"/>
    </row>
    <row r="7871" spans="4:4" x14ac:dyDescent="0.25">
      <c r="D7871" s="102"/>
    </row>
    <row r="7872" spans="4:4" x14ac:dyDescent="0.25">
      <c r="D7872" s="102"/>
    </row>
    <row r="7873" spans="4:4" x14ac:dyDescent="0.25">
      <c r="D7873" s="102"/>
    </row>
    <row r="7874" spans="4:4" x14ac:dyDescent="0.25">
      <c r="D7874" s="102"/>
    </row>
    <row r="7875" spans="4:4" x14ac:dyDescent="0.25">
      <c r="D7875" s="102"/>
    </row>
    <row r="7876" spans="4:4" x14ac:dyDescent="0.25">
      <c r="D7876" s="102"/>
    </row>
    <row r="7877" spans="4:4" x14ac:dyDescent="0.25">
      <c r="D7877" s="102"/>
    </row>
    <row r="7878" spans="4:4" x14ac:dyDescent="0.25">
      <c r="D7878" s="102"/>
    </row>
    <row r="7879" spans="4:4" x14ac:dyDescent="0.25">
      <c r="D7879" s="102"/>
    </row>
    <row r="7880" spans="4:4" x14ac:dyDescent="0.25">
      <c r="D7880" s="102"/>
    </row>
    <row r="7881" spans="4:4" x14ac:dyDescent="0.25">
      <c r="D7881" s="102"/>
    </row>
    <row r="7882" spans="4:4" x14ac:dyDescent="0.25">
      <c r="D7882" s="102"/>
    </row>
    <row r="7883" spans="4:4" x14ac:dyDescent="0.25">
      <c r="D7883" s="102"/>
    </row>
    <row r="7884" spans="4:4" x14ac:dyDescent="0.25">
      <c r="D7884" s="102"/>
    </row>
    <row r="7885" spans="4:4" x14ac:dyDescent="0.25">
      <c r="D7885" s="102"/>
    </row>
    <row r="7886" spans="4:4" x14ac:dyDescent="0.25">
      <c r="D7886" s="102"/>
    </row>
    <row r="7887" spans="4:4" x14ac:dyDescent="0.25">
      <c r="D7887" s="102"/>
    </row>
    <row r="7888" spans="4:4" x14ac:dyDescent="0.25">
      <c r="D7888" s="102"/>
    </row>
    <row r="7889" spans="4:4" x14ac:dyDescent="0.25">
      <c r="D7889" s="102"/>
    </row>
    <row r="7890" spans="4:4" x14ac:dyDescent="0.25">
      <c r="D7890" s="102"/>
    </row>
    <row r="7891" spans="4:4" x14ac:dyDescent="0.25">
      <c r="D7891" s="102"/>
    </row>
    <row r="7892" spans="4:4" x14ac:dyDescent="0.25">
      <c r="D7892" s="102"/>
    </row>
    <row r="7893" spans="4:4" x14ac:dyDescent="0.25">
      <c r="D7893" s="102"/>
    </row>
    <row r="7894" spans="4:4" x14ac:dyDescent="0.25">
      <c r="D7894" s="102"/>
    </row>
    <row r="7895" spans="4:4" x14ac:dyDescent="0.25">
      <c r="D7895" s="102"/>
    </row>
    <row r="7896" spans="4:4" x14ac:dyDescent="0.25">
      <c r="D7896" s="102"/>
    </row>
    <row r="7897" spans="4:4" x14ac:dyDescent="0.25">
      <c r="D7897" s="102"/>
    </row>
    <row r="7898" spans="4:4" x14ac:dyDescent="0.25">
      <c r="D7898" s="102"/>
    </row>
    <row r="7899" spans="4:4" x14ac:dyDescent="0.25">
      <c r="D7899" s="102"/>
    </row>
    <row r="7900" spans="4:4" x14ac:dyDescent="0.25">
      <c r="D7900" s="102"/>
    </row>
    <row r="7901" spans="4:4" x14ac:dyDescent="0.25">
      <c r="D7901" s="102"/>
    </row>
    <row r="7902" spans="4:4" x14ac:dyDescent="0.25">
      <c r="D7902" s="102"/>
    </row>
    <row r="7903" spans="4:4" x14ac:dyDescent="0.25">
      <c r="D7903" s="102"/>
    </row>
    <row r="7904" spans="4:4" x14ac:dyDescent="0.25">
      <c r="D7904" s="102"/>
    </row>
    <row r="7905" spans="4:4" x14ac:dyDescent="0.25">
      <c r="D7905" s="102"/>
    </row>
    <row r="7906" spans="4:4" x14ac:dyDescent="0.25">
      <c r="D7906" s="102"/>
    </row>
    <row r="7907" spans="4:4" x14ac:dyDescent="0.25">
      <c r="D7907" s="102"/>
    </row>
    <row r="7908" spans="4:4" x14ac:dyDescent="0.25">
      <c r="D7908" s="102"/>
    </row>
    <row r="7909" spans="4:4" x14ac:dyDescent="0.25">
      <c r="D7909" s="102"/>
    </row>
    <row r="7910" spans="4:4" x14ac:dyDescent="0.25">
      <c r="D7910" s="102"/>
    </row>
    <row r="7911" spans="4:4" x14ac:dyDescent="0.25">
      <c r="D7911" s="102"/>
    </row>
    <row r="7912" spans="4:4" x14ac:dyDescent="0.25">
      <c r="D7912" s="102"/>
    </row>
    <row r="7913" spans="4:4" x14ac:dyDescent="0.25">
      <c r="D7913" s="102"/>
    </row>
    <row r="7914" spans="4:4" x14ac:dyDescent="0.25">
      <c r="D7914" s="102"/>
    </row>
    <row r="7915" spans="4:4" x14ac:dyDescent="0.25">
      <c r="D7915" s="102"/>
    </row>
    <row r="7916" spans="4:4" x14ac:dyDescent="0.25">
      <c r="D7916" s="102"/>
    </row>
    <row r="7917" spans="4:4" x14ac:dyDescent="0.25">
      <c r="D7917" s="102"/>
    </row>
    <row r="7918" spans="4:4" x14ac:dyDescent="0.25">
      <c r="D7918" s="102"/>
    </row>
    <row r="7919" spans="4:4" x14ac:dyDescent="0.25">
      <c r="D7919" s="102"/>
    </row>
    <row r="7920" spans="4:4" x14ac:dyDescent="0.25">
      <c r="D7920" s="102"/>
    </row>
    <row r="7921" spans="4:4" x14ac:dyDescent="0.25">
      <c r="D7921" s="102"/>
    </row>
    <row r="7922" spans="4:4" x14ac:dyDescent="0.25">
      <c r="D7922" s="102"/>
    </row>
    <row r="7923" spans="4:4" x14ac:dyDescent="0.25">
      <c r="D7923" s="102"/>
    </row>
    <row r="7924" spans="4:4" x14ac:dyDescent="0.25">
      <c r="D7924" s="102"/>
    </row>
    <row r="7925" spans="4:4" x14ac:dyDescent="0.25">
      <c r="D7925" s="102"/>
    </row>
    <row r="7926" spans="4:4" x14ac:dyDescent="0.25">
      <c r="D7926" s="102"/>
    </row>
    <row r="7927" spans="4:4" x14ac:dyDescent="0.25">
      <c r="D7927" s="102"/>
    </row>
    <row r="7928" spans="4:4" x14ac:dyDescent="0.25">
      <c r="D7928" s="102"/>
    </row>
    <row r="7929" spans="4:4" x14ac:dyDescent="0.25">
      <c r="D7929" s="102"/>
    </row>
    <row r="7930" spans="4:4" x14ac:dyDescent="0.25">
      <c r="D7930" s="102"/>
    </row>
    <row r="7931" spans="4:4" x14ac:dyDescent="0.25">
      <c r="D7931" s="102"/>
    </row>
    <row r="7932" spans="4:4" x14ac:dyDescent="0.25">
      <c r="D7932" s="102"/>
    </row>
    <row r="7933" spans="4:4" x14ac:dyDescent="0.25">
      <c r="D7933" s="102"/>
    </row>
    <row r="7934" spans="4:4" x14ac:dyDescent="0.25">
      <c r="D7934" s="102"/>
    </row>
    <row r="7935" spans="4:4" x14ac:dyDescent="0.25">
      <c r="D7935" s="102"/>
    </row>
    <row r="7936" spans="4:4" x14ac:dyDescent="0.25">
      <c r="D7936" s="102"/>
    </row>
    <row r="7937" spans="4:4" x14ac:dyDescent="0.25">
      <c r="D7937" s="102"/>
    </row>
    <row r="7938" spans="4:4" x14ac:dyDescent="0.25">
      <c r="D7938" s="102"/>
    </row>
    <row r="7939" spans="4:4" x14ac:dyDescent="0.25">
      <c r="D7939" s="102"/>
    </row>
    <row r="7940" spans="4:4" x14ac:dyDescent="0.25">
      <c r="D7940" s="102"/>
    </row>
    <row r="7941" spans="4:4" x14ac:dyDescent="0.25">
      <c r="D7941" s="102"/>
    </row>
    <row r="7942" spans="4:4" x14ac:dyDescent="0.25">
      <c r="D7942" s="102"/>
    </row>
    <row r="7943" spans="4:4" x14ac:dyDescent="0.25">
      <c r="D7943" s="102"/>
    </row>
    <row r="7944" spans="4:4" x14ac:dyDescent="0.25">
      <c r="D7944" s="102"/>
    </row>
    <row r="7945" spans="4:4" x14ac:dyDescent="0.25">
      <c r="D7945" s="102"/>
    </row>
    <row r="7946" spans="4:4" x14ac:dyDescent="0.25">
      <c r="D7946" s="102"/>
    </row>
    <row r="7947" spans="4:4" x14ac:dyDescent="0.25">
      <c r="D7947" s="102"/>
    </row>
    <row r="7948" spans="4:4" x14ac:dyDescent="0.25">
      <c r="D7948" s="102"/>
    </row>
    <row r="7949" spans="4:4" x14ac:dyDescent="0.25">
      <c r="D7949" s="102"/>
    </row>
    <row r="7950" spans="4:4" x14ac:dyDescent="0.25">
      <c r="D7950" s="102"/>
    </row>
    <row r="7951" spans="4:4" x14ac:dyDescent="0.25">
      <c r="D7951" s="102"/>
    </row>
    <row r="7952" spans="4:4" x14ac:dyDescent="0.25">
      <c r="D7952" s="102"/>
    </row>
    <row r="7953" spans="4:4" x14ac:dyDescent="0.25">
      <c r="D7953" s="102"/>
    </row>
    <row r="7954" spans="4:4" x14ac:dyDescent="0.25">
      <c r="D7954" s="102"/>
    </row>
    <row r="7955" spans="4:4" x14ac:dyDescent="0.25">
      <c r="D7955" s="102"/>
    </row>
    <row r="7956" spans="4:4" x14ac:dyDescent="0.25">
      <c r="D7956" s="102"/>
    </row>
    <row r="7957" spans="4:4" x14ac:dyDescent="0.25">
      <c r="D7957" s="102"/>
    </row>
    <row r="7958" spans="4:4" x14ac:dyDescent="0.25">
      <c r="D7958" s="102"/>
    </row>
    <row r="7959" spans="4:4" x14ac:dyDescent="0.25">
      <c r="D7959" s="102"/>
    </row>
    <row r="7960" spans="4:4" x14ac:dyDescent="0.25">
      <c r="D7960" s="102"/>
    </row>
    <row r="7961" spans="4:4" x14ac:dyDescent="0.25">
      <c r="D7961" s="102"/>
    </row>
    <row r="7962" spans="4:4" x14ac:dyDescent="0.25">
      <c r="D7962" s="102"/>
    </row>
    <row r="7963" spans="4:4" x14ac:dyDescent="0.25">
      <c r="D7963" s="102"/>
    </row>
    <row r="7964" spans="4:4" x14ac:dyDescent="0.25">
      <c r="D7964" s="102"/>
    </row>
    <row r="7965" spans="4:4" x14ac:dyDescent="0.25">
      <c r="D7965" s="102"/>
    </row>
    <row r="7966" spans="4:4" x14ac:dyDescent="0.25">
      <c r="D7966" s="102"/>
    </row>
    <row r="7967" spans="4:4" x14ac:dyDescent="0.25">
      <c r="D7967" s="102"/>
    </row>
    <row r="7968" spans="4:4" x14ac:dyDescent="0.25">
      <c r="D7968" s="102"/>
    </row>
    <row r="7969" spans="4:4" x14ac:dyDescent="0.25">
      <c r="D7969" s="102"/>
    </row>
    <row r="7970" spans="4:4" x14ac:dyDescent="0.25">
      <c r="D7970" s="102"/>
    </row>
    <row r="7971" spans="4:4" x14ac:dyDescent="0.25">
      <c r="D7971" s="102"/>
    </row>
    <row r="7972" spans="4:4" x14ac:dyDescent="0.25">
      <c r="D7972" s="102"/>
    </row>
    <row r="7973" spans="4:4" x14ac:dyDescent="0.25">
      <c r="D7973" s="102"/>
    </row>
    <row r="7974" spans="4:4" x14ac:dyDescent="0.25">
      <c r="D7974" s="102"/>
    </row>
    <row r="7975" spans="4:4" x14ac:dyDescent="0.25">
      <c r="D7975" s="102"/>
    </row>
    <row r="7976" spans="4:4" x14ac:dyDescent="0.25">
      <c r="D7976" s="102"/>
    </row>
    <row r="7977" spans="4:4" x14ac:dyDescent="0.25">
      <c r="D7977" s="102"/>
    </row>
    <row r="7978" spans="4:4" x14ac:dyDescent="0.25">
      <c r="D7978" s="102"/>
    </row>
    <row r="7979" spans="4:4" x14ac:dyDescent="0.25">
      <c r="D7979" s="102"/>
    </row>
    <row r="7980" spans="4:4" x14ac:dyDescent="0.25">
      <c r="D7980" s="102"/>
    </row>
    <row r="7981" spans="4:4" x14ac:dyDescent="0.25">
      <c r="D7981" s="102"/>
    </row>
    <row r="7982" spans="4:4" x14ac:dyDescent="0.25">
      <c r="D7982" s="102"/>
    </row>
    <row r="7983" spans="4:4" x14ac:dyDescent="0.25">
      <c r="D7983" s="102"/>
    </row>
    <row r="7984" spans="4:4" x14ac:dyDescent="0.25">
      <c r="D7984" s="102"/>
    </row>
    <row r="7985" spans="4:4" x14ac:dyDescent="0.25">
      <c r="D7985" s="102"/>
    </row>
    <row r="7986" spans="4:4" x14ac:dyDescent="0.25">
      <c r="D7986" s="102"/>
    </row>
    <row r="7987" spans="4:4" x14ac:dyDescent="0.25">
      <c r="D7987" s="102"/>
    </row>
    <row r="7988" spans="4:4" x14ac:dyDescent="0.25">
      <c r="D7988" s="102"/>
    </row>
    <row r="7989" spans="4:4" x14ac:dyDescent="0.25">
      <c r="D7989" s="102"/>
    </row>
    <row r="7990" spans="4:4" x14ac:dyDescent="0.25">
      <c r="D7990" s="102"/>
    </row>
    <row r="7991" spans="4:4" x14ac:dyDescent="0.25">
      <c r="D7991" s="102"/>
    </row>
    <row r="7992" spans="4:4" x14ac:dyDescent="0.25">
      <c r="D7992" s="102"/>
    </row>
    <row r="7993" spans="4:4" x14ac:dyDescent="0.25">
      <c r="D7993" s="102"/>
    </row>
    <row r="7994" spans="4:4" x14ac:dyDescent="0.25">
      <c r="D7994" s="102"/>
    </row>
    <row r="7995" spans="4:4" x14ac:dyDescent="0.25">
      <c r="D7995" s="102"/>
    </row>
    <row r="7996" spans="4:4" x14ac:dyDescent="0.25">
      <c r="D7996" s="102"/>
    </row>
    <row r="7997" spans="4:4" x14ac:dyDescent="0.25">
      <c r="D7997" s="102"/>
    </row>
    <row r="7998" spans="4:4" x14ac:dyDescent="0.25">
      <c r="D7998" s="102"/>
    </row>
    <row r="7999" spans="4:4" x14ac:dyDescent="0.25">
      <c r="D7999" s="102"/>
    </row>
    <row r="8000" spans="4:4" x14ac:dyDescent="0.25">
      <c r="D8000" s="102"/>
    </row>
    <row r="8001" spans="4:4" x14ac:dyDescent="0.25">
      <c r="D8001" s="102"/>
    </row>
    <row r="8002" spans="4:4" x14ac:dyDescent="0.25">
      <c r="D8002" s="102"/>
    </row>
    <row r="8003" spans="4:4" x14ac:dyDescent="0.25">
      <c r="D8003" s="102"/>
    </row>
    <row r="8004" spans="4:4" x14ac:dyDescent="0.25">
      <c r="D8004" s="102"/>
    </row>
    <row r="8005" spans="4:4" x14ac:dyDescent="0.25">
      <c r="D8005" s="102"/>
    </row>
    <row r="8006" spans="4:4" x14ac:dyDescent="0.25">
      <c r="D8006" s="102"/>
    </row>
    <row r="8007" spans="4:4" x14ac:dyDescent="0.25">
      <c r="D8007" s="102"/>
    </row>
    <row r="8008" spans="4:4" x14ac:dyDescent="0.25">
      <c r="D8008" s="102"/>
    </row>
    <row r="8009" spans="4:4" x14ac:dyDescent="0.25">
      <c r="D8009" s="102"/>
    </row>
    <row r="8010" spans="4:4" x14ac:dyDescent="0.25">
      <c r="D8010" s="102"/>
    </row>
    <row r="8011" spans="4:4" x14ac:dyDescent="0.25">
      <c r="D8011" s="102"/>
    </row>
    <row r="8012" spans="4:4" x14ac:dyDescent="0.25">
      <c r="D8012" s="102"/>
    </row>
    <row r="8013" spans="4:4" x14ac:dyDescent="0.25">
      <c r="D8013" s="102"/>
    </row>
    <row r="8014" spans="4:4" x14ac:dyDescent="0.25">
      <c r="D8014" s="102"/>
    </row>
    <row r="8015" spans="4:4" x14ac:dyDescent="0.25">
      <c r="D8015" s="102"/>
    </row>
    <row r="8016" spans="4:4" x14ac:dyDescent="0.25">
      <c r="D8016" s="102"/>
    </row>
    <row r="8017" spans="4:4" x14ac:dyDescent="0.25">
      <c r="D8017" s="102"/>
    </row>
    <row r="8018" spans="4:4" x14ac:dyDescent="0.25">
      <c r="D8018" s="102"/>
    </row>
    <row r="8019" spans="4:4" x14ac:dyDescent="0.25">
      <c r="D8019" s="102"/>
    </row>
    <row r="8020" spans="4:4" x14ac:dyDescent="0.25">
      <c r="D8020" s="102"/>
    </row>
    <row r="8021" spans="4:4" x14ac:dyDescent="0.25">
      <c r="D8021" s="102"/>
    </row>
    <row r="8022" spans="4:4" x14ac:dyDescent="0.25">
      <c r="D8022" s="102"/>
    </row>
    <row r="8023" spans="4:4" x14ac:dyDescent="0.25">
      <c r="D8023" s="102"/>
    </row>
    <row r="8024" spans="4:4" x14ac:dyDescent="0.25">
      <c r="D8024" s="102"/>
    </row>
    <row r="8025" spans="4:4" x14ac:dyDescent="0.25">
      <c r="D8025" s="102"/>
    </row>
    <row r="8026" spans="4:4" x14ac:dyDescent="0.25">
      <c r="D8026" s="102"/>
    </row>
    <row r="8027" spans="4:4" x14ac:dyDescent="0.25">
      <c r="D8027" s="102"/>
    </row>
    <row r="8028" spans="4:4" x14ac:dyDescent="0.25">
      <c r="D8028" s="102"/>
    </row>
    <row r="8029" spans="4:4" x14ac:dyDescent="0.25">
      <c r="D8029" s="102"/>
    </row>
    <row r="8030" spans="4:4" x14ac:dyDescent="0.25">
      <c r="D8030" s="102"/>
    </row>
    <row r="8031" spans="4:4" x14ac:dyDescent="0.25">
      <c r="D8031" s="102"/>
    </row>
    <row r="8032" spans="4:4" x14ac:dyDescent="0.25">
      <c r="D8032" s="102"/>
    </row>
    <row r="8033" spans="4:4" x14ac:dyDescent="0.25">
      <c r="D8033" s="102"/>
    </row>
    <row r="8034" spans="4:4" x14ac:dyDescent="0.25">
      <c r="D8034" s="102"/>
    </row>
    <row r="8035" spans="4:4" x14ac:dyDescent="0.25">
      <c r="D8035" s="102"/>
    </row>
    <row r="8036" spans="4:4" x14ac:dyDescent="0.25">
      <c r="D8036" s="102"/>
    </row>
    <row r="8037" spans="4:4" x14ac:dyDescent="0.25">
      <c r="D8037" s="102"/>
    </row>
    <row r="8038" spans="4:4" x14ac:dyDescent="0.25">
      <c r="D8038" s="102"/>
    </row>
    <row r="8039" spans="4:4" x14ac:dyDescent="0.25">
      <c r="D8039" s="102"/>
    </row>
    <row r="8040" spans="4:4" x14ac:dyDescent="0.25">
      <c r="D8040" s="102"/>
    </row>
    <row r="8041" spans="4:4" x14ac:dyDescent="0.25">
      <c r="D8041" s="102"/>
    </row>
    <row r="8042" spans="4:4" x14ac:dyDescent="0.25">
      <c r="D8042" s="102"/>
    </row>
    <row r="8043" spans="4:4" x14ac:dyDescent="0.25">
      <c r="D8043" s="102"/>
    </row>
    <row r="8044" spans="4:4" x14ac:dyDescent="0.25">
      <c r="D8044" s="102"/>
    </row>
    <row r="8045" spans="4:4" x14ac:dyDescent="0.25">
      <c r="D8045" s="102"/>
    </row>
    <row r="8046" spans="4:4" x14ac:dyDescent="0.25">
      <c r="D8046" s="102"/>
    </row>
    <row r="8047" spans="4:4" x14ac:dyDescent="0.25">
      <c r="D8047" s="102"/>
    </row>
    <row r="8048" spans="4:4" x14ac:dyDescent="0.25">
      <c r="D8048" s="102"/>
    </row>
    <row r="8049" spans="4:4" x14ac:dyDescent="0.25">
      <c r="D8049" s="102"/>
    </row>
    <row r="8050" spans="4:4" x14ac:dyDescent="0.25">
      <c r="D8050" s="102"/>
    </row>
    <row r="8051" spans="4:4" x14ac:dyDescent="0.25">
      <c r="D8051" s="102"/>
    </row>
    <row r="8052" spans="4:4" x14ac:dyDescent="0.25">
      <c r="D8052" s="102"/>
    </row>
    <row r="8053" spans="4:4" x14ac:dyDescent="0.25">
      <c r="D8053" s="102"/>
    </row>
    <row r="8054" spans="4:4" x14ac:dyDescent="0.25">
      <c r="D8054" s="102"/>
    </row>
    <row r="8055" spans="4:4" x14ac:dyDescent="0.25">
      <c r="D8055" s="102"/>
    </row>
    <row r="8056" spans="4:4" x14ac:dyDescent="0.25">
      <c r="D8056" s="102"/>
    </row>
    <row r="8057" spans="4:4" x14ac:dyDescent="0.25">
      <c r="D8057" s="102"/>
    </row>
    <row r="8058" spans="4:4" x14ac:dyDescent="0.25">
      <c r="D8058" s="102"/>
    </row>
    <row r="8059" spans="4:4" x14ac:dyDescent="0.25">
      <c r="D8059" s="102"/>
    </row>
    <row r="8060" spans="4:4" x14ac:dyDescent="0.25">
      <c r="D8060" s="102"/>
    </row>
    <row r="8061" spans="4:4" x14ac:dyDescent="0.25">
      <c r="D8061" s="102"/>
    </row>
    <row r="8062" spans="4:4" x14ac:dyDescent="0.25">
      <c r="D8062" s="102"/>
    </row>
    <row r="8063" spans="4:4" x14ac:dyDescent="0.25">
      <c r="D8063" s="102"/>
    </row>
    <row r="8064" spans="4:4" x14ac:dyDescent="0.25">
      <c r="D8064" s="102"/>
    </row>
    <row r="8065" spans="4:4" x14ac:dyDescent="0.25">
      <c r="D8065" s="102"/>
    </row>
    <row r="8066" spans="4:4" x14ac:dyDescent="0.25">
      <c r="D8066" s="102"/>
    </row>
    <row r="8067" spans="4:4" x14ac:dyDescent="0.25">
      <c r="D8067" s="102"/>
    </row>
    <row r="8068" spans="4:4" x14ac:dyDescent="0.25">
      <c r="D8068" s="102"/>
    </row>
    <row r="8069" spans="4:4" x14ac:dyDescent="0.25">
      <c r="D8069" s="102"/>
    </row>
    <row r="8070" spans="4:4" x14ac:dyDescent="0.25">
      <c r="D8070" s="102"/>
    </row>
    <row r="8071" spans="4:4" x14ac:dyDescent="0.25">
      <c r="D8071" s="102"/>
    </row>
    <row r="8072" spans="4:4" x14ac:dyDescent="0.25">
      <c r="D8072" s="102"/>
    </row>
    <row r="8073" spans="4:4" x14ac:dyDescent="0.25">
      <c r="D8073" s="102"/>
    </row>
    <row r="8074" spans="4:4" x14ac:dyDescent="0.25">
      <c r="D8074" s="102"/>
    </row>
    <row r="8075" spans="4:4" x14ac:dyDescent="0.25">
      <c r="D8075" s="102"/>
    </row>
    <row r="8076" spans="4:4" x14ac:dyDescent="0.25">
      <c r="D8076" s="102"/>
    </row>
    <row r="8077" spans="4:4" x14ac:dyDescent="0.25">
      <c r="D8077" s="102"/>
    </row>
    <row r="8078" spans="4:4" x14ac:dyDescent="0.25">
      <c r="D8078" s="102"/>
    </row>
    <row r="8079" spans="4:4" x14ac:dyDescent="0.25">
      <c r="D8079" s="102"/>
    </row>
    <row r="8080" spans="4:4" x14ac:dyDescent="0.25">
      <c r="D8080" s="102"/>
    </row>
    <row r="8081" spans="4:4" x14ac:dyDescent="0.25">
      <c r="D8081" s="102"/>
    </row>
    <row r="8082" spans="4:4" x14ac:dyDescent="0.25">
      <c r="D8082" s="102"/>
    </row>
    <row r="8083" spans="4:4" x14ac:dyDescent="0.25">
      <c r="D8083" s="102"/>
    </row>
    <row r="8084" spans="4:4" x14ac:dyDescent="0.25">
      <c r="D8084" s="102"/>
    </row>
    <row r="8085" spans="4:4" x14ac:dyDescent="0.25">
      <c r="D8085" s="102"/>
    </row>
    <row r="8086" spans="4:4" x14ac:dyDescent="0.25">
      <c r="D8086" s="102"/>
    </row>
    <row r="8087" spans="4:4" x14ac:dyDescent="0.25">
      <c r="D8087" s="102"/>
    </row>
    <row r="8088" spans="4:4" x14ac:dyDescent="0.25">
      <c r="D8088" s="102"/>
    </row>
    <row r="8089" spans="4:4" x14ac:dyDescent="0.25">
      <c r="D8089" s="102"/>
    </row>
    <row r="8090" spans="4:4" x14ac:dyDescent="0.25">
      <c r="D8090" s="102"/>
    </row>
    <row r="8091" spans="4:4" x14ac:dyDescent="0.25">
      <c r="D8091" s="102"/>
    </row>
    <row r="8092" spans="4:4" x14ac:dyDescent="0.25">
      <c r="D8092" s="102"/>
    </row>
    <row r="8093" spans="4:4" x14ac:dyDescent="0.25">
      <c r="D8093" s="102"/>
    </row>
    <row r="8094" spans="4:4" x14ac:dyDescent="0.25">
      <c r="D8094" s="102"/>
    </row>
    <row r="8095" spans="4:4" x14ac:dyDescent="0.25">
      <c r="D8095" s="102"/>
    </row>
    <row r="8096" spans="4:4" x14ac:dyDescent="0.25">
      <c r="D8096" s="102"/>
    </row>
    <row r="8097" spans="4:4" x14ac:dyDescent="0.25">
      <c r="D8097" s="102"/>
    </row>
    <row r="8098" spans="4:4" x14ac:dyDescent="0.25">
      <c r="D8098" s="102"/>
    </row>
    <row r="8099" spans="4:4" x14ac:dyDescent="0.25">
      <c r="D8099" s="102"/>
    </row>
    <row r="8100" spans="4:4" x14ac:dyDescent="0.25">
      <c r="D8100" s="102"/>
    </row>
    <row r="8101" spans="4:4" x14ac:dyDescent="0.25">
      <c r="D8101" s="102"/>
    </row>
    <row r="8102" spans="4:4" x14ac:dyDescent="0.25">
      <c r="D8102" s="102"/>
    </row>
    <row r="8103" spans="4:4" x14ac:dyDescent="0.25">
      <c r="D8103" s="102"/>
    </row>
    <row r="8104" spans="4:4" x14ac:dyDescent="0.25">
      <c r="D8104" s="102"/>
    </row>
    <row r="8105" spans="4:4" x14ac:dyDescent="0.25">
      <c r="D8105" s="102"/>
    </row>
    <row r="8106" spans="4:4" x14ac:dyDescent="0.25">
      <c r="D8106" s="102"/>
    </row>
    <row r="8107" spans="4:4" x14ac:dyDescent="0.25">
      <c r="D8107" s="102"/>
    </row>
    <row r="8108" spans="4:4" x14ac:dyDescent="0.25">
      <c r="D8108" s="102"/>
    </row>
    <row r="8109" spans="4:4" x14ac:dyDescent="0.25">
      <c r="D8109" s="102"/>
    </row>
    <row r="8110" spans="4:4" x14ac:dyDescent="0.25">
      <c r="D8110" s="102"/>
    </row>
    <row r="8111" spans="4:4" x14ac:dyDescent="0.25">
      <c r="D8111" s="102"/>
    </row>
    <row r="8112" spans="4:4" x14ac:dyDescent="0.25">
      <c r="D8112" s="102"/>
    </row>
    <row r="8113" spans="4:4" x14ac:dyDescent="0.25">
      <c r="D8113" s="102"/>
    </row>
    <row r="8114" spans="4:4" x14ac:dyDescent="0.25">
      <c r="D8114" s="102"/>
    </row>
    <row r="8115" spans="4:4" x14ac:dyDescent="0.25">
      <c r="D8115" s="102"/>
    </row>
    <row r="8116" spans="4:4" x14ac:dyDescent="0.25">
      <c r="D8116" s="102"/>
    </row>
    <row r="8117" spans="4:4" x14ac:dyDescent="0.25">
      <c r="D8117" s="102"/>
    </row>
    <row r="8118" spans="4:4" x14ac:dyDescent="0.25">
      <c r="D8118" s="102"/>
    </row>
    <row r="8119" spans="4:4" x14ac:dyDescent="0.25">
      <c r="D8119" s="102"/>
    </row>
    <row r="8120" spans="4:4" x14ac:dyDescent="0.25">
      <c r="D8120" s="102"/>
    </row>
    <row r="8121" spans="4:4" x14ac:dyDescent="0.25">
      <c r="D8121" s="102"/>
    </row>
    <row r="8122" spans="4:4" x14ac:dyDescent="0.25">
      <c r="D8122" s="102"/>
    </row>
    <row r="8123" spans="4:4" x14ac:dyDescent="0.25">
      <c r="D8123" s="102"/>
    </row>
    <row r="8124" spans="4:4" x14ac:dyDescent="0.25">
      <c r="D8124" s="102"/>
    </row>
    <row r="8125" spans="4:4" x14ac:dyDescent="0.25">
      <c r="D8125" s="102"/>
    </row>
    <row r="8126" spans="4:4" x14ac:dyDescent="0.25">
      <c r="D8126" s="102"/>
    </row>
    <row r="8127" spans="4:4" x14ac:dyDescent="0.25">
      <c r="D8127" s="102"/>
    </row>
    <row r="8128" spans="4:4" x14ac:dyDescent="0.25">
      <c r="D8128" s="102"/>
    </row>
    <row r="8129" spans="4:4" x14ac:dyDescent="0.25">
      <c r="D8129" s="102"/>
    </row>
    <row r="8130" spans="4:4" x14ac:dyDescent="0.25">
      <c r="D8130" s="102"/>
    </row>
    <row r="8131" spans="4:4" x14ac:dyDescent="0.25">
      <c r="D8131" s="102"/>
    </row>
    <row r="8132" spans="4:4" x14ac:dyDescent="0.25">
      <c r="D8132" s="102"/>
    </row>
    <row r="8133" spans="4:4" x14ac:dyDescent="0.25">
      <c r="D8133" s="102"/>
    </row>
    <row r="8134" spans="4:4" x14ac:dyDescent="0.25">
      <c r="D8134" s="102"/>
    </row>
    <row r="8135" spans="4:4" x14ac:dyDescent="0.25">
      <c r="D8135" s="102"/>
    </row>
    <row r="8136" spans="4:4" x14ac:dyDescent="0.25">
      <c r="D8136" s="102"/>
    </row>
    <row r="8137" spans="4:4" x14ac:dyDescent="0.25">
      <c r="D8137" s="102"/>
    </row>
    <row r="8138" spans="4:4" x14ac:dyDescent="0.25">
      <c r="D8138" s="102"/>
    </row>
    <row r="8139" spans="4:4" x14ac:dyDescent="0.25">
      <c r="D8139" s="102"/>
    </row>
    <row r="8140" spans="4:4" x14ac:dyDescent="0.25">
      <c r="D8140" s="102"/>
    </row>
    <row r="8141" spans="4:4" x14ac:dyDescent="0.25">
      <c r="D8141" s="102"/>
    </row>
    <row r="8142" spans="4:4" x14ac:dyDescent="0.25">
      <c r="D8142" s="102"/>
    </row>
    <row r="8143" spans="4:4" x14ac:dyDescent="0.25">
      <c r="D8143" s="102"/>
    </row>
    <row r="8144" spans="4:4" x14ac:dyDescent="0.25">
      <c r="D8144" s="102"/>
    </row>
    <row r="8145" spans="4:4" x14ac:dyDescent="0.25">
      <c r="D8145" s="102"/>
    </row>
    <row r="8146" spans="4:4" x14ac:dyDescent="0.25">
      <c r="D8146" s="102"/>
    </row>
    <row r="8147" spans="4:4" x14ac:dyDescent="0.25">
      <c r="D8147" s="102"/>
    </row>
    <row r="8148" spans="4:4" x14ac:dyDescent="0.25">
      <c r="D8148" s="102"/>
    </row>
    <row r="8149" spans="4:4" x14ac:dyDescent="0.25">
      <c r="D8149" s="102"/>
    </row>
    <row r="8150" spans="4:4" x14ac:dyDescent="0.25">
      <c r="D8150" s="102"/>
    </row>
    <row r="8151" spans="4:4" x14ac:dyDescent="0.25">
      <c r="D8151" s="102"/>
    </row>
    <row r="8152" spans="4:4" x14ac:dyDescent="0.25">
      <c r="D8152" s="102"/>
    </row>
    <row r="8153" spans="4:4" x14ac:dyDescent="0.25">
      <c r="D8153" s="102"/>
    </row>
    <row r="8154" spans="4:4" x14ac:dyDescent="0.25">
      <c r="D8154" s="102"/>
    </row>
    <row r="8155" spans="4:4" x14ac:dyDescent="0.25">
      <c r="D8155" s="102"/>
    </row>
    <row r="8156" spans="4:4" x14ac:dyDescent="0.25">
      <c r="D8156" s="102"/>
    </row>
    <row r="8157" spans="4:4" x14ac:dyDescent="0.25">
      <c r="D8157" s="102"/>
    </row>
    <row r="8158" spans="4:4" x14ac:dyDescent="0.25">
      <c r="D8158" s="102"/>
    </row>
    <row r="8159" spans="4:4" x14ac:dyDescent="0.25">
      <c r="D8159" s="102"/>
    </row>
    <row r="8160" spans="4:4" x14ac:dyDescent="0.25">
      <c r="D8160" s="102"/>
    </row>
    <row r="8161" spans="4:4" x14ac:dyDescent="0.25">
      <c r="D8161" s="102"/>
    </row>
    <row r="8162" spans="4:4" x14ac:dyDescent="0.25">
      <c r="D8162" s="102"/>
    </row>
    <row r="8163" spans="4:4" x14ac:dyDescent="0.25">
      <c r="D8163" s="102"/>
    </row>
    <row r="8164" spans="4:4" x14ac:dyDescent="0.25">
      <c r="D8164" s="102"/>
    </row>
    <row r="8165" spans="4:4" x14ac:dyDescent="0.25">
      <c r="D8165" s="102"/>
    </row>
    <row r="8166" spans="4:4" x14ac:dyDescent="0.25">
      <c r="D8166" s="102"/>
    </row>
    <row r="8167" spans="4:4" x14ac:dyDescent="0.25">
      <c r="D8167" s="102"/>
    </row>
    <row r="8168" spans="4:4" x14ac:dyDescent="0.25">
      <c r="D8168" s="102"/>
    </row>
    <row r="8169" spans="4:4" x14ac:dyDescent="0.25">
      <c r="D8169" s="102"/>
    </row>
    <row r="8170" spans="4:4" x14ac:dyDescent="0.25">
      <c r="D8170" s="102"/>
    </row>
    <row r="8171" spans="4:4" x14ac:dyDescent="0.25">
      <c r="D8171" s="102"/>
    </row>
    <row r="8172" spans="4:4" x14ac:dyDescent="0.25">
      <c r="D8172" s="102"/>
    </row>
    <row r="8173" spans="4:4" x14ac:dyDescent="0.25">
      <c r="D8173" s="102"/>
    </row>
    <row r="8174" spans="4:4" x14ac:dyDescent="0.25">
      <c r="D8174" s="102"/>
    </row>
    <row r="8175" spans="4:4" x14ac:dyDescent="0.25">
      <c r="D8175" s="102"/>
    </row>
    <row r="8176" spans="4:4" x14ac:dyDescent="0.25">
      <c r="D8176" s="102"/>
    </row>
    <row r="8177" spans="4:4" x14ac:dyDescent="0.25">
      <c r="D8177" s="102"/>
    </row>
    <row r="8178" spans="4:4" x14ac:dyDescent="0.25">
      <c r="D8178" s="102"/>
    </row>
    <row r="8179" spans="4:4" x14ac:dyDescent="0.25">
      <c r="D8179" s="102"/>
    </row>
    <row r="8180" spans="4:4" x14ac:dyDescent="0.25">
      <c r="D8180" s="102"/>
    </row>
    <row r="8181" spans="4:4" x14ac:dyDescent="0.25">
      <c r="D8181" s="102"/>
    </row>
    <row r="8182" spans="4:4" x14ac:dyDescent="0.25">
      <c r="D8182" s="102"/>
    </row>
    <row r="8183" spans="4:4" x14ac:dyDescent="0.25">
      <c r="D8183" s="102"/>
    </row>
    <row r="8184" spans="4:4" x14ac:dyDescent="0.25">
      <c r="D8184" s="102"/>
    </row>
    <row r="8185" spans="4:4" x14ac:dyDescent="0.25">
      <c r="D8185" s="102"/>
    </row>
    <row r="8186" spans="4:4" x14ac:dyDescent="0.25">
      <c r="D8186" s="102"/>
    </row>
    <row r="8187" spans="4:4" x14ac:dyDescent="0.25">
      <c r="D8187" s="102"/>
    </row>
    <row r="8188" spans="4:4" x14ac:dyDescent="0.25">
      <c r="D8188" s="102"/>
    </row>
    <row r="8189" spans="4:4" x14ac:dyDescent="0.25">
      <c r="D8189" s="102"/>
    </row>
    <row r="8190" spans="4:4" x14ac:dyDescent="0.25">
      <c r="D8190" s="102"/>
    </row>
    <row r="8191" spans="4:4" x14ac:dyDescent="0.25">
      <c r="D8191" s="102"/>
    </row>
    <row r="8192" spans="4:4" x14ac:dyDescent="0.25">
      <c r="D8192" s="102"/>
    </row>
    <row r="8193" spans="4:4" x14ac:dyDescent="0.25">
      <c r="D8193" s="102"/>
    </row>
    <row r="8194" spans="4:4" x14ac:dyDescent="0.25">
      <c r="D8194" s="102"/>
    </row>
    <row r="8195" spans="4:4" x14ac:dyDescent="0.25">
      <c r="D8195" s="102"/>
    </row>
    <row r="8196" spans="4:4" x14ac:dyDescent="0.25">
      <c r="D8196" s="102"/>
    </row>
    <row r="8197" spans="4:4" x14ac:dyDescent="0.25">
      <c r="D8197" s="102"/>
    </row>
    <row r="8198" spans="4:4" x14ac:dyDescent="0.25">
      <c r="D8198" s="102"/>
    </row>
    <row r="8199" spans="4:4" x14ac:dyDescent="0.25">
      <c r="D8199" s="102"/>
    </row>
    <row r="8200" spans="4:4" x14ac:dyDescent="0.25">
      <c r="D8200" s="102"/>
    </row>
    <row r="8201" spans="4:4" x14ac:dyDescent="0.25">
      <c r="D8201" s="102"/>
    </row>
    <row r="8202" spans="4:4" x14ac:dyDescent="0.25">
      <c r="D8202" s="102"/>
    </row>
    <row r="8203" spans="4:4" x14ac:dyDescent="0.25">
      <c r="D8203" s="102"/>
    </row>
    <row r="8204" spans="4:4" x14ac:dyDescent="0.25">
      <c r="D8204" s="102"/>
    </row>
    <row r="8205" spans="4:4" x14ac:dyDescent="0.25">
      <c r="D8205" s="102"/>
    </row>
    <row r="8206" spans="4:4" x14ac:dyDescent="0.25">
      <c r="D8206" s="102"/>
    </row>
    <row r="8207" spans="4:4" x14ac:dyDescent="0.25">
      <c r="D8207" s="102"/>
    </row>
    <row r="8208" spans="4:4" x14ac:dyDescent="0.25">
      <c r="D8208" s="102"/>
    </row>
    <row r="8209" spans="4:4" x14ac:dyDescent="0.25">
      <c r="D8209" s="102"/>
    </row>
    <row r="8210" spans="4:4" x14ac:dyDescent="0.25">
      <c r="D8210" s="102"/>
    </row>
    <row r="8211" spans="4:4" x14ac:dyDescent="0.25">
      <c r="D8211" s="102"/>
    </row>
    <row r="8212" spans="4:4" x14ac:dyDescent="0.25">
      <c r="D8212" s="102"/>
    </row>
    <row r="8213" spans="4:4" x14ac:dyDescent="0.25">
      <c r="D8213" s="102"/>
    </row>
    <row r="8214" spans="4:4" x14ac:dyDescent="0.25">
      <c r="D8214" s="102"/>
    </row>
    <row r="8215" spans="4:4" x14ac:dyDescent="0.25">
      <c r="D8215" s="102"/>
    </row>
    <row r="8216" spans="4:4" x14ac:dyDescent="0.25">
      <c r="D8216" s="102"/>
    </row>
    <row r="8217" spans="4:4" x14ac:dyDescent="0.25">
      <c r="D8217" s="102"/>
    </row>
    <row r="8218" spans="4:4" x14ac:dyDescent="0.25">
      <c r="D8218" s="102"/>
    </row>
    <row r="8219" spans="4:4" x14ac:dyDescent="0.25">
      <c r="D8219" s="102"/>
    </row>
    <row r="8220" spans="4:4" x14ac:dyDescent="0.25">
      <c r="D8220" s="102"/>
    </row>
    <row r="8221" spans="4:4" x14ac:dyDescent="0.25">
      <c r="D8221" s="102"/>
    </row>
    <row r="8222" spans="4:4" x14ac:dyDescent="0.25">
      <c r="D8222" s="102"/>
    </row>
    <row r="8223" spans="4:4" x14ac:dyDescent="0.25">
      <c r="D8223" s="102"/>
    </row>
    <row r="8224" spans="4:4" x14ac:dyDescent="0.25">
      <c r="D8224" s="102"/>
    </row>
    <row r="8225" spans="4:4" x14ac:dyDescent="0.25">
      <c r="D8225" s="102"/>
    </row>
    <row r="8226" spans="4:4" x14ac:dyDescent="0.25">
      <c r="D8226" s="102"/>
    </row>
    <row r="8227" spans="4:4" x14ac:dyDescent="0.25">
      <c r="D8227" s="102"/>
    </row>
    <row r="8228" spans="4:4" x14ac:dyDescent="0.25">
      <c r="D8228" s="102"/>
    </row>
    <row r="8229" spans="4:4" x14ac:dyDescent="0.25">
      <c r="D8229" s="102"/>
    </row>
    <row r="8230" spans="4:4" x14ac:dyDescent="0.25">
      <c r="D8230" s="102"/>
    </row>
    <row r="8231" spans="4:4" x14ac:dyDescent="0.25">
      <c r="D8231" s="102"/>
    </row>
    <row r="8232" spans="4:4" x14ac:dyDescent="0.25">
      <c r="D8232" s="102"/>
    </row>
    <row r="8233" spans="4:4" x14ac:dyDescent="0.25">
      <c r="D8233" s="102"/>
    </row>
    <row r="8234" spans="4:4" x14ac:dyDescent="0.25">
      <c r="D8234" s="102"/>
    </row>
    <row r="8235" spans="4:4" x14ac:dyDescent="0.25">
      <c r="D8235" s="102"/>
    </row>
    <row r="8236" spans="4:4" x14ac:dyDescent="0.25">
      <c r="D8236" s="102"/>
    </row>
    <row r="8237" spans="4:4" x14ac:dyDescent="0.25">
      <c r="D8237" s="102"/>
    </row>
    <row r="8238" spans="4:4" x14ac:dyDescent="0.25">
      <c r="D8238" s="102"/>
    </row>
    <row r="8239" spans="4:4" x14ac:dyDescent="0.25">
      <c r="D8239" s="102"/>
    </row>
    <row r="8240" spans="4:4" x14ac:dyDescent="0.25">
      <c r="D8240" s="102"/>
    </row>
    <row r="8241" spans="4:4" x14ac:dyDescent="0.25">
      <c r="D8241" s="102"/>
    </row>
    <row r="8242" spans="4:4" x14ac:dyDescent="0.25">
      <c r="D8242" s="102"/>
    </row>
    <row r="8243" spans="4:4" x14ac:dyDescent="0.25">
      <c r="D8243" s="102"/>
    </row>
    <row r="8244" spans="4:4" x14ac:dyDescent="0.25">
      <c r="D8244" s="102"/>
    </row>
    <row r="8245" spans="4:4" x14ac:dyDescent="0.25">
      <c r="D8245" s="102"/>
    </row>
    <row r="8246" spans="4:4" x14ac:dyDescent="0.25">
      <c r="D8246" s="102"/>
    </row>
    <row r="8247" spans="4:4" x14ac:dyDescent="0.25">
      <c r="D8247" s="102"/>
    </row>
    <row r="8248" spans="4:4" x14ac:dyDescent="0.25">
      <c r="D8248" s="102"/>
    </row>
    <row r="8249" spans="4:4" x14ac:dyDescent="0.25">
      <c r="D8249" s="102"/>
    </row>
    <row r="8250" spans="4:4" x14ac:dyDescent="0.25">
      <c r="D8250" s="102"/>
    </row>
    <row r="8251" spans="4:4" x14ac:dyDescent="0.25">
      <c r="D8251" s="102"/>
    </row>
    <row r="8252" spans="4:4" x14ac:dyDescent="0.25">
      <c r="D8252" s="102"/>
    </row>
    <row r="8253" spans="4:4" x14ac:dyDescent="0.25">
      <c r="D8253" s="102"/>
    </row>
    <row r="8254" spans="4:4" x14ac:dyDescent="0.25">
      <c r="D8254" s="102"/>
    </row>
    <row r="8255" spans="4:4" x14ac:dyDescent="0.25">
      <c r="D8255" s="102"/>
    </row>
    <row r="8256" spans="4:4" x14ac:dyDescent="0.25">
      <c r="D8256" s="102"/>
    </row>
    <row r="8257" spans="4:4" x14ac:dyDescent="0.25">
      <c r="D8257" s="102"/>
    </row>
    <row r="8258" spans="4:4" x14ac:dyDescent="0.25">
      <c r="D8258" s="102"/>
    </row>
    <row r="8259" spans="4:4" x14ac:dyDescent="0.25">
      <c r="D8259" s="102"/>
    </row>
    <row r="8260" spans="4:4" x14ac:dyDescent="0.25">
      <c r="D8260" s="102"/>
    </row>
    <row r="8261" spans="4:4" x14ac:dyDescent="0.25">
      <c r="D8261" s="102"/>
    </row>
    <row r="8262" spans="4:4" x14ac:dyDescent="0.25">
      <c r="D8262" s="102"/>
    </row>
    <row r="8263" spans="4:4" x14ac:dyDescent="0.25">
      <c r="D8263" s="102"/>
    </row>
    <row r="8264" spans="4:4" x14ac:dyDescent="0.25">
      <c r="D8264" s="102"/>
    </row>
    <row r="8265" spans="4:4" x14ac:dyDescent="0.25">
      <c r="D8265" s="102"/>
    </row>
    <row r="8266" spans="4:4" x14ac:dyDescent="0.25">
      <c r="D8266" s="102"/>
    </row>
    <row r="8267" spans="4:4" x14ac:dyDescent="0.25">
      <c r="D8267" s="102"/>
    </row>
    <row r="8268" spans="4:4" x14ac:dyDescent="0.25">
      <c r="D8268" s="102"/>
    </row>
    <row r="8269" spans="4:4" x14ac:dyDescent="0.25">
      <c r="D8269" s="102"/>
    </row>
    <row r="8270" spans="4:4" x14ac:dyDescent="0.25">
      <c r="D8270" s="102"/>
    </row>
    <row r="8271" spans="4:4" x14ac:dyDescent="0.25">
      <c r="D8271" s="102"/>
    </row>
    <row r="8272" spans="4:4" x14ac:dyDescent="0.25">
      <c r="D8272" s="102"/>
    </row>
    <row r="8273" spans="4:4" x14ac:dyDescent="0.25">
      <c r="D8273" s="102"/>
    </row>
    <row r="8274" spans="4:4" x14ac:dyDescent="0.25">
      <c r="D8274" s="102"/>
    </row>
    <row r="8275" spans="4:4" x14ac:dyDescent="0.25">
      <c r="D8275" s="102"/>
    </row>
    <row r="8276" spans="4:4" x14ac:dyDescent="0.25">
      <c r="D8276" s="102"/>
    </row>
    <row r="8277" spans="4:4" x14ac:dyDescent="0.25">
      <c r="D8277" s="102"/>
    </row>
    <row r="8278" spans="4:4" x14ac:dyDescent="0.25">
      <c r="D8278" s="102"/>
    </row>
    <row r="8279" spans="4:4" x14ac:dyDescent="0.25">
      <c r="D8279" s="102"/>
    </row>
    <row r="8280" spans="4:4" x14ac:dyDescent="0.25">
      <c r="D8280" s="102"/>
    </row>
    <row r="8281" spans="4:4" x14ac:dyDescent="0.25">
      <c r="D8281" s="102"/>
    </row>
    <row r="8282" spans="4:4" x14ac:dyDescent="0.25">
      <c r="D8282" s="102"/>
    </row>
    <row r="8283" spans="4:4" x14ac:dyDescent="0.25">
      <c r="D8283" s="102"/>
    </row>
    <row r="8284" spans="4:4" x14ac:dyDescent="0.25">
      <c r="D8284" s="102"/>
    </row>
    <row r="8285" spans="4:4" x14ac:dyDescent="0.25">
      <c r="D8285" s="102"/>
    </row>
    <row r="8286" spans="4:4" x14ac:dyDescent="0.25">
      <c r="D8286" s="102"/>
    </row>
    <row r="8287" spans="4:4" x14ac:dyDescent="0.25">
      <c r="D8287" s="102"/>
    </row>
    <row r="8288" spans="4:4" x14ac:dyDescent="0.25">
      <c r="D8288" s="102"/>
    </row>
    <row r="8289" spans="4:4" x14ac:dyDescent="0.25">
      <c r="D8289" s="102"/>
    </row>
    <row r="8290" spans="4:4" x14ac:dyDescent="0.25">
      <c r="D8290" s="102"/>
    </row>
    <row r="8291" spans="4:4" x14ac:dyDescent="0.25">
      <c r="D8291" s="102"/>
    </row>
    <row r="8292" spans="4:4" x14ac:dyDescent="0.25">
      <c r="D8292" s="102"/>
    </row>
    <row r="8293" spans="4:4" x14ac:dyDescent="0.25">
      <c r="D8293" s="102"/>
    </row>
    <row r="8294" spans="4:4" x14ac:dyDescent="0.25">
      <c r="D8294" s="102"/>
    </row>
    <row r="8295" spans="4:4" x14ac:dyDescent="0.25">
      <c r="D8295" s="102"/>
    </row>
    <row r="8296" spans="4:4" x14ac:dyDescent="0.25">
      <c r="D8296" s="102"/>
    </row>
    <row r="8297" spans="4:4" x14ac:dyDescent="0.25">
      <c r="D8297" s="102"/>
    </row>
    <row r="8298" spans="4:4" x14ac:dyDescent="0.25">
      <c r="D8298" s="102"/>
    </row>
    <row r="8299" spans="4:4" x14ac:dyDescent="0.25">
      <c r="D8299" s="102"/>
    </row>
    <row r="8300" spans="4:4" x14ac:dyDescent="0.25">
      <c r="D8300" s="102"/>
    </row>
    <row r="8301" spans="4:4" x14ac:dyDescent="0.25">
      <c r="D8301" s="102"/>
    </row>
    <row r="8302" spans="4:4" x14ac:dyDescent="0.25">
      <c r="D8302" s="102"/>
    </row>
    <row r="8303" spans="4:4" x14ac:dyDescent="0.25">
      <c r="D8303" s="102"/>
    </row>
    <row r="8304" spans="4:4" x14ac:dyDescent="0.25">
      <c r="D8304" s="102"/>
    </row>
    <row r="8305" spans="4:4" x14ac:dyDescent="0.25">
      <c r="D8305" s="102"/>
    </row>
    <row r="8306" spans="4:4" x14ac:dyDescent="0.25">
      <c r="D8306" s="102"/>
    </row>
    <row r="8307" spans="4:4" x14ac:dyDescent="0.25">
      <c r="D8307" s="102"/>
    </row>
    <row r="8308" spans="4:4" x14ac:dyDescent="0.25">
      <c r="D8308" s="102"/>
    </row>
    <row r="8309" spans="4:4" x14ac:dyDescent="0.25">
      <c r="D8309" s="102"/>
    </row>
    <row r="8310" spans="4:4" x14ac:dyDescent="0.25">
      <c r="D8310" s="102"/>
    </row>
    <row r="8311" spans="4:4" x14ac:dyDescent="0.25">
      <c r="D8311" s="102"/>
    </row>
    <row r="8312" spans="4:4" x14ac:dyDescent="0.25">
      <c r="D8312" s="102"/>
    </row>
    <row r="8313" spans="4:4" x14ac:dyDescent="0.25">
      <c r="D8313" s="102"/>
    </row>
    <row r="8314" spans="4:4" x14ac:dyDescent="0.25">
      <c r="D8314" s="102"/>
    </row>
    <row r="8315" spans="4:4" x14ac:dyDescent="0.25">
      <c r="D8315" s="102"/>
    </row>
    <row r="8316" spans="4:4" x14ac:dyDescent="0.25">
      <c r="D8316" s="102"/>
    </row>
    <row r="8317" spans="4:4" x14ac:dyDescent="0.25">
      <c r="D8317" s="102"/>
    </row>
    <row r="8318" spans="4:4" x14ac:dyDescent="0.25">
      <c r="D8318" s="102"/>
    </row>
    <row r="8319" spans="4:4" x14ac:dyDescent="0.25">
      <c r="D8319" s="102"/>
    </row>
    <row r="8320" spans="4:4" x14ac:dyDescent="0.25">
      <c r="D8320" s="102"/>
    </row>
    <row r="8321" spans="4:4" x14ac:dyDescent="0.25">
      <c r="D8321" s="102"/>
    </row>
    <row r="8322" spans="4:4" x14ac:dyDescent="0.25">
      <c r="D8322" s="102"/>
    </row>
    <row r="8323" spans="4:4" x14ac:dyDescent="0.25">
      <c r="D8323" s="102"/>
    </row>
    <row r="8324" spans="4:4" x14ac:dyDescent="0.25">
      <c r="D8324" s="102"/>
    </row>
    <row r="8325" spans="4:4" x14ac:dyDescent="0.25">
      <c r="D8325" s="102"/>
    </row>
    <row r="8326" spans="4:4" x14ac:dyDescent="0.25">
      <c r="D8326" s="102"/>
    </row>
    <row r="8327" spans="4:4" x14ac:dyDescent="0.25">
      <c r="D8327" s="102"/>
    </row>
    <row r="8328" spans="4:4" x14ac:dyDescent="0.25">
      <c r="D8328" s="102"/>
    </row>
    <row r="8329" spans="4:4" x14ac:dyDescent="0.25">
      <c r="D8329" s="102"/>
    </row>
    <row r="8330" spans="4:4" x14ac:dyDescent="0.25">
      <c r="D8330" s="102"/>
    </row>
    <row r="8331" spans="4:4" x14ac:dyDescent="0.25">
      <c r="D8331" s="102"/>
    </row>
    <row r="8332" spans="4:4" x14ac:dyDescent="0.25">
      <c r="D8332" s="102"/>
    </row>
    <row r="8333" spans="4:4" x14ac:dyDescent="0.25">
      <c r="D8333" s="102"/>
    </row>
    <row r="8334" spans="4:4" x14ac:dyDescent="0.25">
      <c r="D8334" s="102"/>
    </row>
    <row r="8335" spans="4:4" x14ac:dyDescent="0.25">
      <c r="D8335" s="102"/>
    </row>
    <row r="8336" spans="4:4" x14ac:dyDescent="0.25">
      <c r="D8336" s="102"/>
    </row>
    <row r="8337" spans="4:4" x14ac:dyDescent="0.25">
      <c r="D8337" s="102"/>
    </row>
    <row r="8338" spans="4:4" x14ac:dyDescent="0.25">
      <c r="D8338" s="102"/>
    </row>
    <row r="8339" spans="4:4" x14ac:dyDescent="0.25">
      <c r="D8339" s="102"/>
    </row>
    <row r="8340" spans="4:4" x14ac:dyDescent="0.25">
      <c r="D8340" s="102"/>
    </row>
    <row r="8341" spans="4:4" x14ac:dyDescent="0.25">
      <c r="D8341" s="102"/>
    </row>
    <row r="8342" spans="4:4" x14ac:dyDescent="0.25">
      <c r="D8342" s="102"/>
    </row>
    <row r="8343" spans="4:4" x14ac:dyDescent="0.25">
      <c r="D8343" s="102"/>
    </row>
    <row r="8344" spans="4:4" x14ac:dyDescent="0.25">
      <c r="D8344" s="102"/>
    </row>
    <row r="8345" spans="4:4" x14ac:dyDescent="0.25">
      <c r="D8345" s="102"/>
    </row>
    <row r="8346" spans="4:4" x14ac:dyDescent="0.25">
      <c r="D8346" s="102"/>
    </row>
    <row r="8347" spans="4:4" x14ac:dyDescent="0.25">
      <c r="D8347" s="102"/>
    </row>
    <row r="8348" spans="4:4" x14ac:dyDescent="0.25">
      <c r="D8348" s="102"/>
    </row>
    <row r="8349" spans="4:4" x14ac:dyDescent="0.25">
      <c r="D8349" s="102"/>
    </row>
    <row r="8350" spans="4:4" x14ac:dyDescent="0.25">
      <c r="D8350" s="102"/>
    </row>
    <row r="8351" spans="4:4" x14ac:dyDescent="0.25">
      <c r="D8351" s="102"/>
    </row>
    <row r="8352" spans="4:4" x14ac:dyDescent="0.25">
      <c r="D8352" s="102"/>
    </row>
    <row r="8353" spans="4:4" x14ac:dyDescent="0.25">
      <c r="D8353" s="102"/>
    </row>
    <row r="8354" spans="4:4" x14ac:dyDescent="0.25">
      <c r="D8354" s="102"/>
    </row>
    <row r="8355" spans="4:4" x14ac:dyDescent="0.25">
      <c r="D8355" s="102"/>
    </row>
    <row r="8356" spans="4:4" x14ac:dyDescent="0.25">
      <c r="D8356" s="102"/>
    </row>
    <row r="8357" spans="4:4" x14ac:dyDescent="0.25">
      <c r="D8357" s="102"/>
    </row>
    <row r="8358" spans="4:4" x14ac:dyDescent="0.25">
      <c r="D8358" s="102"/>
    </row>
    <row r="8359" spans="4:4" x14ac:dyDescent="0.25">
      <c r="D8359" s="102"/>
    </row>
    <row r="8360" spans="4:4" x14ac:dyDescent="0.25">
      <c r="D8360" s="102"/>
    </row>
    <row r="8361" spans="4:4" x14ac:dyDescent="0.25">
      <c r="D8361" s="102"/>
    </row>
    <row r="8362" spans="4:4" x14ac:dyDescent="0.25">
      <c r="D8362" s="102"/>
    </row>
    <row r="8363" spans="4:4" x14ac:dyDescent="0.25">
      <c r="D8363" s="102"/>
    </row>
    <row r="8364" spans="4:4" x14ac:dyDescent="0.25">
      <c r="D8364" s="102"/>
    </row>
    <row r="8365" spans="4:4" x14ac:dyDescent="0.25">
      <c r="D8365" s="102"/>
    </row>
    <row r="8366" spans="4:4" x14ac:dyDescent="0.25">
      <c r="D8366" s="102"/>
    </row>
    <row r="8367" spans="4:4" x14ac:dyDescent="0.25">
      <c r="D8367" s="102"/>
    </row>
    <row r="8368" spans="4:4" x14ac:dyDescent="0.25">
      <c r="D8368" s="102"/>
    </row>
    <row r="8369" spans="4:4" x14ac:dyDescent="0.25">
      <c r="D8369" s="102"/>
    </row>
    <row r="8370" spans="4:4" x14ac:dyDescent="0.25">
      <c r="D8370" s="102"/>
    </row>
    <row r="8371" spans="4:4" x14ac:dyDescent="0.25">
      <c r="D8371" s="102"/>
    </row>
    <row r="8372" spans="4:4" x14ac:dyDescent="0.25">
      <c r="D8372" s="102"/>
    </row>
    <row r="8373" spans="4:4" x14ac:dyDescent="0.25">
      <c r="D8373" s="102"/>
    </row>
    <row r="8374" spans="4:4" x14ac:dyDescent="0.25">
      <c r="D8374" s="102"/>
    </row>
    <row r="8375" spans="4:4" x14ac:dyDescent="0.25">
      <c r="D8375" s="102"/>
    </row>
    <row r="8376" spans="4:4" x14ac:dyDescent="0.25">
      <c r="D8376" s="102"/>
    </row>
    <row r="8377" spans="4:4" x14ac:dyDescent="0.25">
      <c r="D8377" s="102"/>
    </row>
    <row r="8378" spans="4:4" x14ac:dyDescent="0.25">
      <c r="D8378" s="102"/>
    </row>
    <row r="8379" spans="4:4" x14ac:dyDescent="0.25">
      <c r="D8379" s="102"/>
    </row>
    <row r="8380" spans="4:4" x14ac:dyDescent="0.25">
      <c r="D8380" s="102"/>
    </row>
    <row r="8381" spans="4:4" x14ac:dyDescent="0.25">
      <c r="D8381" s="102"/>
    </row>
    <row r="8382" spans="4:4" x14ac:dyDescent="0.25">
      <c r="D8382" s="102"/>
    </row>
    <row r="8383" spans="4:4" x14ac:dyDescent="0.25">
      <c r="D8383" s="102"/>
    </row>
    <row r="8384" spans="4:4" x14ac:dyDescent="0.25">
      <c r="D8384" s="102"/>
    </row>
    <row r="8385" spans="4:4" x14ac:dyDescent="0.25">
      <c r="D8385" s="102"/>
    </row>
    <row r="8386" spans="4:4" x14ac:dyDescent="0.25">
      <c r="D8386" s="102"/>
    </row>
    <row r="8387" spans="4:4" x14ac:dyDescent="0.25">
      <c r="D8387" s="102"/>
    </row>
    <row r="8388" spans="4:4" x14ac:dyDescent="0.25">
      <c r="D8388" s="102"/>
    </row>
    <row r="8389" spans="4:4" x14ac:dyDescent="0.25">
      <c r="D8389" s="102"/>
    </row>
    <row r="8390" spans="4:4" x14ac:dyDescent="0.25">
      <c r="D8390" s="102"/>
    </row>
    <row r="8391" spans="4:4" x14ac:dyDescent="0.25">
      <c r="D8391" s="102"/>
    </row>
    <row r="8392" spans="4:4" x14ac:dyDescent="0.25">
      <c r="D8392" s="102"/>
    </row>
    <row r="8393" spans="4:4" x14ac:dyDescent="0.25">
      <c r="D8393" s="102"/>
    </row>
    <row r="8394" spans="4:4" x14ac:dyDescent="0.25">
      <c r="D8394" s="102"/>
    </row>
    <row r="8395" spans="4:4" x14ac:dyDescent="0.25">
      <c r="D8395" s="102"/>
    </row>
    <row r="8396" spans="4:4" x14ac:dyDescent="0.25">
      <c r="D8396" s="102"/>
    </row>
    <row r="8397" spans="4:4" x14ac:dyDescent="0.25">
      <c r="D8397" s="102"/>
    </row>
    <row r="8398" spans="4:4" x14ac:dyDescent="0.25">
      <c r="D8398" s="102"/>
    </row>
    <row r="8399" spans="4:4" x14ac:dyDescent="0.25">
      <c r="D8399" s="102"/>
    </row>
    <row r="8400" spans="4:4" x14ac:dyDescent="0.25">
      <c r="D8400" s="102"/>
    </row>
    <row r="8401" spans="4:4" x14ac:dyDescent="0.25">
      <c r="D8401" s="102"/>
    </row>
    <row r="8402" spans="4:4" x14ac:dyDescent="0.25">
      <c r="D8402" s="102"/>
    </row>
    <row r="8403" spans="4:4" x14ac:dyDescent="0.25">
      <c r="D8403" s="102"/>
    </row>
    <row r="8404" spans="4:4" x14ac:dyDescent="0.25">
      <c r="D8404" s="102"/>
    </row>
    <row r="8405" spans="4:4" x14ac:dyDescent="0.25">
      <c r="D8405" s="102"/>
    </row>
    <row r="8406" spans="4:4" x14ac:dyDescent="0.25">
      <c r="D8406" s="102"/>
    </row>
    <row r="8407" spans="4:4" x14ac:dyDescent="0.25">
      <c r="D8407" s="102"/>
    </row>
    <row r="8408" spans="4:4" x14ac:dyDescent="0.25">
      <c r="D8408" s="102"/>
    </row>
    <row r="8409" spans="4:4" x14ac:dyDescent="0.25">
      <c r="D8409" s="102"/>
    </row>
    <row r="8410" spans="4:4" x14ac:dyDescent="0.25">
      <c r="D8410" s="102"/>
    </row>
    <row r="8411" spans="4:4" x14ac:dyDescent="0.25">
      <c r="D8411" s="102"/>
    </row>
    <row r="8412" spans="4:4" x14ac:dyDescent="0.25">
      <c r="D8412" s="102"/>
    </row>
    <row r="8413" spans="4:4" x14ac:dyDescent="0.25">
      <c r="D8413" s="102"/>
    </row>
    <row r="8414" spans="4:4" x14ac:dyDescent="0.25">
      <c r="D8414" s="102"/>
    </row>
    <row r="8415" spans="4:4" x14ac:dyDescent="0.25">
      <c r="D8415" s="102"/>
    </row>
    <row r="8416" spans="4:4" x14ac:dyDescent="0.25">
      <c r="D8416" s="102"/>
    </row>
    <row r="8417" spans="4:4" x14ac:dyDescent="0.25">
      <c r="D8417" s="102"/>
    </row>
    <row r="8418" spans="4:4" x14ac:dyDescent="0.25">
      <c r="D8418" s="102"/>
    </row>
    <row r="8419" spans="4:4" x14ac:dyDescent="0.25">
      <c r="D8419" s="102"/>
    </row>
    <row r="8420" spans="4:4" x14ac:dyDescent="0.25">
      <c r="D8420" s="102"/>
    </row>
    <row r="8421" spans="4:4" x14ac:dyDescent="0.25">
      <c r="D8421" s="102"/>
    </row>
    <row r="8422" spans="4:4" x14ac:dyDescent="0.25">
      <c r="D8422" s="102"/>
    </row>
    <row r="8423" spans="4:4" x14ac:dyDescent="0.25">
      <c r="D8423" s="102"/>
    </row>
    <row r="8424" spans="4:4" x14ac:dyDescent="0.25">
      <c r="D8424" s="102"/>
    </row>
    <row r="8425" spans="4:4" x14ac:dyDescent="0.25">
      <c r="D8425" s="102"/>
    </row>
    <row r="8426" spans="4:4" x14ac:dyDescent="0.25">
      <c r="D8426" s="102"/>
    </row>
    <row r="8427" spans="4:4" x14ac:dyDescent="0.25">
      <c r="D8427" s="102"/>
    </row>
    <row r="8428" spans="4:4" x14ac:dyDescent="0.25">
      <c r="D8428" s="102"/>
    </row>
    <row r="8429" spans="4:4" x14ac:dyDescent="0.25">
      <c r="D8429" s="102"/>
    </row>
    <row r="8430" spans="4:4" x14ac:dyDescent="0.25">
      <c r="D8430" s="102"/>
    </row>
    <row r="8431" spans="4:4" x14ac:dyDescent="0.25">
      <c r="D8431" s="102"/>
    </row>
    <row r="8432" spans="4:4" x14ac:dyDescent="0.25">
      <c r="D8432" s="102"/>
    </row>
    <row r="8433" spans="4:4" x14ac:dyDescent="0.25">
      <c r="D8433" s="102"/>
    </row>
    <row r="8434" spans="4:4" x14ac:dyDescent="0.25">
      <c r="D8434" s="102"/>
    </row>
    <row r="8435" spans="4:4" x14ac:dyDescent="0.25">
      <c r="D8435" s="102"/>
    </row>
    <row r="8436" spans="4:4" x14ac:dyDescent="0.25">
      <c r="D8436" s="102"/>
    </row>
    <row r="8437" spans="4:4" x14ac:dyDescent="0.25">
      <c r="D8437" s="102"/>
    </row>
    <row r="8438" spans="4:4" x14ac:dyDescent="0.25">
      <c r="D8438" s="102"/>
    </row>
    <row r="8439" spans="4:4" x14ac:dyDescent="0.25">
      <c r="D8439" s="102"/>
    </row>
    <row r="8440" spans="4:4" x14ac:dyDescent="0.25">
      <c r="D8440" s="102"/>
    </row>
    <row r="8441" spans="4:4" x14ac:dyDescent="0.25">
      <c r="D8441" s="102"/>
    </row>
    <row r="8442" spans="4:4" x14ac:dyDescent="0.25">
      <c r="D8442" s="102"/>
    </row>
    <row r="8443" spans="4:4" x14ac:dyDescent="0.25">
      <c r="D8443" s="102"/>
    </row>
    <row r="8444" spans="4:4" x14ac:dyDescent="0.25">
      <c r="D8444" s="102"/>
    </row>
    <row r="8445" spans="4:4" x14ac:dyDescent="0.25">
      <c r="D8445" s="102"/>
    </row>
    <row r="8446" spans="4:4" x14ac:dyDescent="0.25">
      <c r="D8446" s="102"/>
    </row>
    <row r="8447" spans="4:4" x14ac:dyDescent="0.25">
      <c r="D8447" s="102"/>
    </row>
    <row r="8448" spans="4:4" x14ac:dyDescent="0.25">
      <c r="D8448" s="102"/>
    </row>
    <row r="8449" spans="4:4" x14ac:dyDescent="0.25">
      <c r="D8449" s="102"/>
    </row>
    <row r="8450" spans="4:4" x14ac:dyDescent="0.25">
      <c r="D8450" s="102"/>
    </row>
    <row r="8451" spans="4:4" x14ac:dyDescent="0.25">
      <c r="D8451" s="102"/>
    </row>
    <row r="8452" spans="4:4" x14ac:dyDescent="0.25">
      <c r="D8452" s="102"/>
    </row>
    <row r="8453" spans="4:4" x14ac:dyDescent="0.25">
      <c r="D8453" s="102"/>
    </row>
    <row r="8454" spans="4:4" x14ac:dyDescent="0.25">
      <c r="D8454" s="102"/>
    </row>
    <row r="8455" spans="4:4" x14ac:dyDescent="0.25">
      <c r="D8455" s="102"/>
    </row>
    <row r="8456" spans="4:4" x14ac:dyDescent="0.25">
      <c r="D8456" s="102"/>
    </row>
    <row r="8457" spans="4:4" x14ac:dyDescent="0.25">
      <c r="D8457" s="102"/>
    </row>
    <row r="8458" spans="4:4" x14ac:dyDescent="0.25">
      <c r="D8458" s="102"/>
    </row>
    <row r="8459" spans="4:4" x14ac:dyDescent="0.25">
      <c r="D8459" s="102"/>
    </row>
    <row r="8460" spans="4:4" x14ac:dyDescent="0.25">
      <c r="D8460" s="102"/>
    </row>
    <row r="8461" spans="4:4" x14ac:dyDescent="0.25">
      <c r="D8461" s="102"/>
    </row>
    <row r="8462" spans="4:4" x14ac:dyDescent="0.25">
      <c r="D8462" s="102"/>
    </row>
    <row r="8463" spans="4:4" x14ac:dyDescent="0.25">
      <c r="D8463" s="102"/>
    </row>
    <row r="8464" spans="4:4" x14ac:dyDescent="0.25">
      <c r="D8464" s="102"/>
    </row>
    <row r="8465" spans="4:4" x14ac:dyDescent="0.25">
      <c r="D8465" s="102"/>
    </row>
    <row r="8466" spans="4:4" x14ac:dyDescent="0.25">
      <c r="D8466" s="102"/>
    </row>
    <row r="8467" spans="4:4" x14ac:dyDescent="0.25">
      <c r="D8467" s="102"/>
    </row>
    <row r="8468" spans="4:4" x14ac:dyDescent="0.25">
      <c r="D8468" s="102"/>
    </row>
    <row r="8469" spans="4:4" x14ac:dyDescent="0.25">
      <c r="D8469" s="102"/>
    </row>
    <row r="8470" spans="4:4" x14ac:dyDescent="0.25">
      <c r="D8470" s="102"/>
    </row>
    <row r="8471" spans="4:4" x14ac:dyDescent="0.25">
      <c r="D8471" s="102"/>
    </row>
    <row r="8472" spans="4:4" x14ac:dyDescent="0.25">
      <c r="D8472" s="102"/>
    </row>
    <row r="8473" spans="4:4" x14ac:dyDescent="0.25">
      <c r="D8473" s="102"/>
    </row>
    <row r="8474" spans="4:4" x14ac:dyDescent="0.25">
      <c r="D8474" s="102"/>
    </row>
    <row r="8475" spans="4:4" x14ac:dyDescent="0.25">
      <c r="D8475" s="102"/>
    </row>
    <row r="8476" spans="4:4" x14ac:dyDescent="0.25">
      <c r="D8476" s="102"/>
    </row>
    <row r="8477" spans="4:4" x14ac:dyDescent="0.25">
      <c r="D8477" s="102"/>
    </row>
    <row r="8478" spans="4:4" x14ac:dyDescent="0.25">
      <c r="D8478" s="102"/>
    </row>
    <row r="8479" spans="4:4" x14ac:dyDescent="0.25">
      <c r="D8479" s="102"/>
    </row>
    <row r="8480" spans="4:4" x14ac:dyDescent="0.25">
      <c r="D8480" s="102"/>
    </row>
    <row r="8481" spans="4:4" x14ac:dyDescent="0.25">
      <c r="D8481" s="102"/>
    </row>
    <row r="8482" spans="4:4" x14ac:dyDescent="0.25">
      <c r="D8482" s="102"/>
    </row>
    <row r="8483" spans="4:4" x14ac:dyDescent="0.25">
      <c r="D8483" s="102"/>
    </row>
    <row r="8484" spans="4:4" x14ac:dyDescent="0.25">
      <c r="D8484" s="102"/>
    </row>
    <row r="8485" spans="4:4" x14ac:dyDescent="0.25">
      <c r="D8485" s="102"/>
    </row>
    <row r="8486" spans="4:4" x14ac:dyDescent="0.25">
      <c r="D8486" s="102"/>
    </row>
    <row r="8487" spans="4:4" x14ac:dyDescent="0.25">
      <c r="D8487" s="102"/>
    </row>
    <row r="8488" spans="4:4" x14ac:dyDescent="0.25">
      <c r="D8488" s="102"/>
    </row>
    <row r="8489" spans="4:4" x14ac:dyDescent="0.25">
      <c r="D8489" s="102"/>
    </row>
    <row r="8490" spans="4:4" x14ac:dyDescent="0.25">
      <c r="D8490" s="102"/>
    </row>
    <row r="8491" spans="4:4" x14ac:dyDescent="0.25">
      <c r="D8491" s="102"/>
    </row>
    <row r="8492" spans="4:4" x14ac:dyDescent="0.25">
      <c r="D8492" s="102"/>
    </row>
    <row r="8493" spans="4:4" x14ac:dyDescent="0.25">
      <c r="D8493" s="102"/>
    </row>
    <row r="8494" spans="4:4" x14ac:dyDescent="0.25">
      <c r="D8494" s="102"/>
    </row>
    <row r="8495" spans="4:4" x14ac:dyDescent="0.25">
      <c r="D8495" s="102"/>
    </row>
    <row r="8496" spans="4:4" x14ac:dyDescent="0.25">
      <c r="D8496" s="102"/>
    </row>
    <row r="8497" spans="4:4" x14ac:dyDescent="0.25">
      <c r="D8497" s="102"/>
    </row>
    <row r="8498" spans="4:4" x14ac:dyDescent="0.25">
      <c r="D8498" s="102"/>
    </row>
    <row r="8499" spans="4:4" x14ac:dyDescent="0.25">
      <c r="D8499" s="102"/>
    </row>
    <row r="8500" spans="4:4" x14ac:dyDescent="0.25">
      <c r="D8500" s="102"/>
    </row>
    <row r="8501" spans="4:4" x14ac:dyDescent="0.25">
      <c r="D8501" s="102"/>
    </row>
    <row r="8502" spans="4:4" x14ac:dyDescent="0.25">
      <c r="D8502" s="102"/>
    </row>
    <row r="8503" spans="4:4" x14ac:dyDescent="0.25">
      <c r="D8503" s="102"/>
    </row>
    <row r="8504" spans="4:4" x14ac:dyDescent="0.25">
      <c r="D8504" s="102"/>
    </row>
    <row r="8505" spans="4:4" x14ac:dyDescent="0.25">
      <c r="D8505" s="102"/>
    </row>
    <row r="8506" spans="4:4" x14ac:dyDescent="0.25">
      <c r="D8506" s="102"/>
    </row>
    <row r="8507" spans="4:4" x14ac:dyDescent="0.25">
      <c r="D8507" s="102"/>
    </row>
    <row r="8508" spans="4:4" x14ac:dyDescent="0.25">
      <c r="D8508" s="102"/>
    </row>
    <row r="8509" spans="4:4" x14ac:dyDescent="0.25">
      <c r="D8509" s="102"/>
    </row>
    <row r="8510" spans="4:4" x14ac:dyDescent="0.25">
      <c r="D8510" s="102"/>
    </row>
    <row r="8511" spans="4:4" x14ac:dyDescent="0.25">
      <c r="D8511" s="102"/>
    </row>
    <row r="8512" spans="4:4" x14ac:dyDescent="0.25">
      <c r="D8512" s="102"/>
    </row>
    <row r="8513" spans="4:4" x14ac:dyDescent="0.25">
      <c r="D8513" s="102"/>
    </row>
    <row r="8514" spans="4:4" x14ac:dyDescent="0.25">
      <c r="D8514" s="102"/>
    </row>
    <row r="8515" spans="4:4" x14ac:dyDescent="0.25">
      <c r="D8515" s="102"/>
    </row>
    <row r="8516" spans="4:4" x14ac:dyDescent="0.25">
      <c r="D8516" s="102"/>
    </row>
    <row r="8517" spans="4:4" x14ac:dyDescent="0.25">
      <c r="D8517" s="102"/>
    </row>
    <row r="8518" spans="4:4" x14ac:dyDescent="0.25">
      <c r="D8518" s="102"/>
    </row>
    <row r="8519" spans="4:4" x14ac:dyDescent="0.25">
      <c r="D8519" s="102"/>
    </row>
    <row r="8520" spans="4:4" x14ac:dyDescent="0.25">
      <c r="D8520" s="102"/>
    </row>
    <row r="8521" spans="4:4" x14ac:dyDescent="0.25">
      <c r="D8521" s="102"/>
    </row>
    <row r="8522" spans="4:4" x14ac:dyDescent="0.25">
      <c r="D8522" s="102"/>
    </row>
    <row r="8523" spans="4:4" x14ac:dyDescent="0.25">
      <c r="D8523" s="102"/>
    </row>
    <row r="8524" spans="4:4" x14ac:dyDescent="0.25">
      <c r="D8524" s="102"/>
    </row>
    <row r="8525" spans="4:4" x14ac:dyDescent="0.25">
      <c r="D8525" s="102"/>
    </row>
    <row r="8526" spans="4:4" x14ac:dyDescent="0.25">
      <c r="D8526" s="102"/>
    </row>
    <row r="8527" spans="4:4" x14ac:dyDescent="0.25">
      <c r="D8527" s="102"/>
    </row>
    <row r="8528" spans="4:4" x14ac:dyDescent="0.25">
      <c r="D8528" s="102"/>
    </row>
    <row r="8529" spans="4:4" x14ac:dyDescent="0.25">
      <c r="D8529" s="102"/>
    </row>
    <row r="8530" spans="4:4" x14ac:dyDescent="0.25">
      <c r="D8530" s="102"/>
    </row>
    <row r="8531" spans="4:4" x14ac:dyDescent="0.25">
      <c r="D8531" s="102"/>
    </row>
    <row r="8532" spans="4:4" x14ac:dyDescent="0.25">
      <c r="D8532" s="102"/>
    </row>
    <row r="8533" spans="4:4" x14ac:dyDescent="0.25">
      <c r="D8533" s="102"/>
    </row>
    <row r="8534" spans="4:4" x14ac:dyDescent="0.25">
      <c r="D8534" s="102"/>
    </row>
    <row r="8535" spans="4:4" x14ac:dyDescent="0.25">
      <c r="D8535" s="102"/>
    </row>
    <row r="8536" spans="4:4" x14ac:dyDescent="0.25">
      <c r="D8536" s="102"/>
    </row>
    <row r="8537" spans="4:4" x14ac:dyDescent="0.25">
      <c r="D8537" s="102"/>
    </row>
    <row r="8538" spans="4:4" x14ac:dyDescent="0.25">
      <c r="D8538" s="102"/>
    </row>
    <row r="8539" spans="4:4" x14ac:dyDescent="0.25">
      <c r="D8539" s="102"/>
    </row>
    <row r="8540" spans="4:4" x14ac:dyDescent="0.25">
      <c r="D8540" s="102"/>
    </row>
    <row r="8541" spans="4:4" x14ac:dyDescent="0.25">
      <c r="D8541" s="102"/>
    </row>
    <row r="8542" spans="4:4" x14ac:dyDescent="0.25">
      <c r="D8542" s="102"/>
    </row>
    <row r="8543" spans="4:4" x14ac:dyDescent="0.25">
      <c r="D8543" s="102"/>
    </row>
    <row r="8544" spans="4:4" x14ac:dyDescent="0.25">
      <c r="D8544" s="102"/>
    </row>
    <row r="8545" spans="4:4" x14ac:dyDescent="0.25">
      <c r="D8545" s="102"/>
    </row>
    <row r="8546" spans="4:4" x14ac:dyDescent="0.25">
      <c r="D8546" s="102"/>
    </row>
    <row r="8547" spans="4:4" x14ac:dyDescent="0.25">
      <c r="D8547" s="102"/>
    </row>
    <row r="8548" spans="4:4" x14ac:dyDescent="0.25">
      <c r="D8548" s="102"/>
    </row>
    <row r="8549" spans="4:4" x14ac:dyDescent="0.25">
      <c r="D8549" s="102"/>
    </row>
    <row r="8550" spans="4:4" x14ac:dyDescent="0.25">
      <c r="D8550" s="102"/>
    </row>
    <row r="8551" spans="4:4" x14ac:dyDescent="0.25">
      <c r="D8551" s="102"/>
    </row>
    <row r="8552" spans="4:4" x14ac:dyDescent="0.25">
      <c r="D8552" s="102"/>
    </row>
    <row r="8553" spans="4:4" x14ac:dyDescent="0.25">
      <c r="D8553" s="102"/>
    </row>
    <row r="8554" spans="4:4" x14ac:dyDescent="0.25">
      <c r="D8554" s="102"/>
    </row>
    <row r="8555" spans="4:4" x14ac:dyDescent="0.25">
      <c r="D8555" s="102"/>
    </row>
    <row r="8556" spans="4:4" x14ac:dyDescent="0.25">
      <c r="D8556" s="102"/>
    </row>
    <row r="8557" spans="4:4" x14ac:dyDescent="0.25">
      <c r="D8557" s="102"/>
    </row>
    <row r="8558" spans="4:4" x14ac:dyDescent="0.25">
      <c r="D8558" s="102"/>
    </row>
    <row r="8559" spans="4:4" x14ac:dyDescent="0.25">
      <c r="D8559" s="102"/>
    </row>
    <row r="8560" spans="4:4" x14ac:dyDescent="0.25">
      <c r="D8560" s="102"/>
    </row>
    <row r="8561" spans="4:4" x14ac:dyDescent="0.25">
      <c r="D8561" s="102"/>
    </row>
    <row r="8562" spans="4:4" x14ac:dyDescent="0.25">
      <c r="D8562" s="102"/>
    </row>
    <row r="8563" spans="4:4" x14ac:dyDescent="0.25">
      <c r="D8563" s="102"/>
    </row>
    <row r="8564" spans="4:4" x14ac:dyDescent="0.25">
      <c r="D8564" s="102"/>
    </row>
    <row r="8565" spans="4:4" x14ac:dyDescent="0.25">
      <c r="D8565" s="102"/>
    </row>
    <row r="8566" spans="4:4" x14ac:dyDescent="0.25">
      <c r="D8566" s="102"/>
    </row>
    <row r="8567" spans="4:4" x14ac:dyDescent="0.25">
      <c r="D8567" s="102"/>
    </row>
    <row r="8568" spans="4:4" x14ac:dyDescent="0.25">
      <c r="D8568" s="102"/>
    </row>
    <row r="8569" spans="4:4" x14ac:dyDescent="0.25">
      <c r="D8569" s="102"/>
    </row>
    <row r="8570" spans="4:4" x14ac:dyDescent="0.25">
      <c r="D8570" s="102"/>
    </row>
    <row r="8571" spans="4:4" x14ac:dyDescent="0.25">
      <c r="D8571" s="102"/>
    </row>
    <row r="8572" spans="4:4" x14ac:dyDescent="0.25">
      <c r="D8572" s="102"/>
    </row>
    <row r="8573" spans="4:4" x14ac:dyDescent="0.25">
      <c r="D8573" s="102"/>
    </row>
    <row r="8574" spans="4:4" x14ac:dyDescent="0.25">
      <c r="D8574" s="102"/>
    </row>
    <row r="8575" spans="4:4" x14ac:dyDescent="0.25">
      <c r="D8575" s="102"/>
    </row>
    <row r="8576" spans="4:4" x14ac:dyDescent="0.25">
      <c r="D8576" s="102"/>
    </row>
    <row r="8577" spans="4:4" x14ac:dyDescent="0.25">
      <c r="D8577" s="102"/>
    </row>
    <row r="8578" spans="4:4" x14ac:dyDescent="0.25">
      <c r="D8578" s="102"/>
    </row>
    <row r="8579" spans="4:4" x14ac:dyDescent="0.25">
      <c r="D8579" s="102"/>
    </row>
    <row r="8580" spans="4:4" x14ac:dyDescent="0.25">
      <c r="D8580" s="102"/>
    </row>
    <row r="8581" spans="4:4" x14ac:dyDescent="0.25">
      <c r="D8581" s="102"/>
    </row>
    <row r="8582" spans="4:4" x14ac:dyDescent="0.25">
      <c r="D8582" s="102"/>
    </row>
    <row r="8583" spans="4:4" x14ac:dyDescent="0.25">
      <c r="D8583" s="102"/>
    </row>
    <row r="8584" spans="4:4" x14ac:dyDescent="0.25">
      <c r="D8584" s="102"/>
    </row>
    <row r="8585" spans="4:4" x14ac:dyDescent="0.25">
      <c r="D8585" s="102"/>
    </row>
    <row r="8586" spans="4:4" x14ac:dyDescent="0.25">
      <c r="D8586" s="102"/>
    </row>
    <row r="8587" spans="4:4" x14ac:dyDescent="0.25">
      <c r="D8587" s="102"/>
    </row>
    <row r="8588" spans="4:4" x14ac:dyDescent="0.25">
      <c r="D8588" s="102"/>
    </row>
    <row r="8589" spans="4:4" x14ac:dyDescent="0.25">
      <c r="D8589" s="102"/>
    </row>
    <row r="8590" spans="4:4" x14ac:dyDescent="0.25">
      <c r="D8590" s="102"/>
    </row>
    <row r="8591" spans="4:4" x14ac:dyDescent="0.25">
      <c r="D8591" s="102"/>
    </row>
    <row r="8592" spans="4:4" x14ac:dyDescent="0.25">
      <c r="D8592" s="102"/>
    </row>
    <row r="8593" spans="4:4" x14ac:dyDescent="0.25">
      <c r="D8593" s="102"/>
    </row>
    <row r="8594" spans="4:4" x14ac:dyDescent="0.25">
      <c r="D8594" s="102"/>
    </row>
    <row r="8595" spans="4:4" x14ac:dyDescent="0.25">
      <c r="D8595" s="102"/>
    </row>
    <row r="8596" spans="4:4" x14ac:dyDescent="0.25">
      <c r="D8596" s="102"/>
    </row>
    <row r="8597" spans="4:4" x14ac:dyDescent="0.25">
      <c r="D8597" s="102"/>
    </row>
    <row r="8598" spans="4:4" x14ac:dyDescent="0.25">
      <c r="D8598" s="102"/>
    </row>
    <row r="8599" spans="4:4" x14ac:dyDescent="0.25">
      <c r="D8599" s="102"/>
    </row>
    <row r="8600" spans="4:4" x14ac:dyDescent="0.25">
      <c r="D8600" s="102"/>
    </row>
    <row r="8601" spans="4:4" x14ac:dyDescent="0.25">
      <c r="D8601" s="102"/>
    </row>
    <row r="8602" spans="4:4" x14ac:dyDescent="0.25">
      <c r="D8602" s="102"/>
    </row>
    <row r="8603" spans="4:4" x14ac:dyDescent="0.25">
      <c r="D8603" s="102"/>
    </row>
    <row r="8604" spans="4:4" x14ac:dyDescent="0.25">
      <c r="D8604" s="102"/>
    </row>
    <row r="8605" spans="4:4" x14ac:dyDescent="0.25">
      <c r="D8605" s="102"/>
    </row>
    <row r="8606" spans="4:4" x14ac:dyDescent="0.25">
      <c r="D8606" s="102"/>
    </row>
    <row r="8607" spans="4:4" x14ac:dyDescent="0.25">
      <c r="D8607" s="102"/>
    </row>
    <row r="8608" spans="4:4" x14ac:dyDescent="0.25">
      <c r="D8608" s="102"/>
    </row>
    <row r="8609" spans="4:4" x14ac:dyDescent="0.25">
      <c r="D8609" s="102"/>
    </row>
    <row r="8610" spans="4:4" x14ac:dyDescent="0.25">
      <c r="D8610" s="102"/>
    </row>
    <row r="8611" spans="4:4" x14ac:dyDescent="0.25">
      <c r="D8611" s="102"/>
    </row>
    <row r="8612" spans="4:4" x14ac:dyDescent="0.25">
      <c r="D8612" s="102"/>
    </row>
    <row r="8613" spans="4:4" x14ac:dyDescent="0.25">
      <c r="D8613" s="102"/>
    </row>
    <row r="8614" spans="4:4" x14ac:dyDescent="0.25">
      <c r="D8614" s="102"/>
    </row>
    <row r="8615" spans="4:4" x14ac:dyDescent="0.25">
      <c r="D8615" s="102"/>
    </row>
    <row r="8616" spans="4:4" x14ac:dyDescent="0.25">
      <c r="D8616" s="102"/>
    </row>
    <row r="8617" spans="4:4" x14ac:dyDescent="0.25">
      <c r="D8617" s="102"/>
    </row>
    <row r="8618" spans="4:4" x14ac:dyDescent="0.25">
      <c r="D8618" s="102"/>
    </row>
    <row r="8619" spans="4:4" x14ac:dyDescent="0.25">
      <c r="D8619" s="102"/>
    </row>
    <row r="8620" spans="4:4" x14ac:dyDescent="0.25">
      <c r="D8620" s="102"/>
    </row>
    <row r="8621" spans="4:4" x14ac:dyDescent="0.25">
      <c r="D8621" s="102"/>
    </row>
    <row r="8622" spans="4:4" x14ac:dyDescent="0.25">
      <c r="D8622" s="102"/>
    </row>
    <row r="8623" spans="4:4" x14ac:dyDescent="0.25">
      <c r="D8623" s="102"/>
    </row>
    <row r="8624" spans="4:4" x14ac:dyDescent="0.25">
      <c r="D8624" s="102"/>
    </row>
    <row r="8625" spans="4:4" x14ac:dyDescent="0.25">
      <c r="D8625" s="102"/>
    </row>
    <row r="8626" spans="4:4" x14ac:dyDescent="0.25">
      <c r="D8626" s="102"/>
    </row>
    <row r="8627" spans="4:4" x14ac:dyDescent="0.25">
      <c r="D8627" s="102"/>
    </row>
    <row r="8628" spans="4:4" x14ac:dyDescent="0.25">
      <c r="D8628" s="102"/>
    </row>
    <row r="8629" spans="4:4" x14ac:dyDescent="0.25">
      <c r="D8629" s="102"/>
    </row>
    <row r="8630" spans="4:4" x14ac:dyDescent="0.25">
      <c r="D8630" s="102"/>
    </row>
    <row r="8631" spans="4:4" x14ac:dyDescent="0.25">
      <c r="D8631" s="102"/>
    </row>
    <row r="8632" spans="4:4" x14ac:dyDescent="0.25">
      <c r="D8632" s="102"/>
    </row>
    <row r="8633" spans="4:4" x14ac:dyDescent="0.25">
      <c r="D8633" s="102"/>
    </row>
    <row r="8634" spans="4:4" x14ac:dyDescent="0.25">
      <c r="D8634" s="102"/>
    </row>
    <row r="8635" spans="4:4" x14ac:dyDescent="0.25">
      <c r="D8635" s="102"/>
    </row>
    <row r="8636" spans="4:4" x14ac:dyDescent="0.25">
      <c r="D8636" s="102"/>
    </row>
    <row r="8637" spans="4:4" x14ac:dyDescent="0.25">
      <c r="D8637" s="102"/>
    </row>
    <row r="8638" spans="4:4" x14ac:dyDescent="0.25">
      <c r="D8638" s="102"/>
    </row>
    <row r="8639" spans="4:4" x14ac:dyDescent="0.25">
      <c r="D8639" s="102"/>
    </row>
    <row r="8640" spans="4:4" x14ac:dyDescent="0.25">
      <c r="D8640" s="102"/>
    </row>
    <row r="8641" spans="4:4" x14ac:dyDescent="0.25">
      <c r="D8641" s="102"/>
    </row>
    <row r="8642" spans="4:4" x14ac:dyDescent="0.25">
      <c r="D8642" s="102"/>
    </row>
    <row r="8643" spans="4:4" x14ac:dyDescent="0.25">
      <c r="D8643" s="102"/>
    </row>
    <row r="8644" spans="4:4" x14ac:dyDescent="0.25">
      <c r="D8644" s="102"/>
    </row>
    <row r="8645" spans="4:4" x14ac:dyDescent="0.25">
      <c r="D8645" s="102"/>
    </row>
    <row r="8646" spans="4:4" x14ac:dyDescent="0.25">
      <c r="D8646" s="102"/>
    </row>
    <row r="8647" spans="4:4" x14ac:dyDescent="0.25">
      <c r="D8647" s="102"/>
    </row>
    <row r="8648" spans="4:4" x14ac:dyDescent="0.25">
      <c r="D8648" s="102"/>
    </row>
    <row r="8649" spans="4:4" x14ac:dyDescent="0.25">
      <c r="D8649" s="102"/>
    </row>
    <row r="8650" spans="4:4" x14ac:dyDescent="0.25">
      <c r="D8650" s="102"/>
    </row>
    <row r="8651" spans="4:4" x14ac:dyDescent="0.25">
      <c r="D8651" s="102"/>
    </row>
    <row r="8652" spans="4:4" x14ac:dyDescent="0.25">
      <c r="D8652" s="102"/>
    </row>
    <row r="8653" spans="4:4" x14ac:dyDescent="0.25">
      <c r="D8653" s="102"/>
    </row>
    <row r="8654" spans="4:4" x14ac:dyDescent="0.25">
      <c r="D8654" s="102"/>
    </row>
    <row r="8655" spans="4:4" x14ac:dyDescent="0.25">
      <c r="D8655" s="102"/>
    </row>
    <row r="8656" spans="4:4" x14ac:dyDescent="0.25">
      <c r="D8656" s="102"/>
    </row>
    <row r="8657" spans="4:4" x14ac:dyDescent="0.25">
      <c r="D8657" s="102"/>
    </row>
    <row r="8658" spans="4:4" x14ac:dyDescent="0.25">
      <c r="D8658" s="102"/>
    </row>
    <row r="8659" spans="4:4" x14ac:dyDescent="0.25">
      <c r="D8659" s="102"/>
    </row>
    <row r="8660" spans="4:4" x14ac:dyDescent="0.25">
      <c r="D8660" s="102"/>
    </row>
    <row r="8661" spans="4:4" x14ac:dyDescent="0.25">
      <c r="D8661" s="102"/>
    </row>
    <row r="8662" spans="4:4" x14ac:dyDescent="0.25">
      <c r="D8662" s="102"/>
    </row>
    <row r="8663" spans="4:4" x14ac:dyDescent="0.25">
      <c r="D8663" s="102"/>
    </row>
    <row r="8664" spans="4:4" x14ac:dyDescent="0.25">
      <c r="D8664" s="102"/>
    </row>
    <row r="8665" spans="4:4" x14ac:dyDescent="0.25">
      <c r="D8665" s="102"/>
    </row>
    <row r="8666" spans="4:4" x14ac:dyDescent="0.25">
      <c r="D8666" s="102"/>
    </row>
    <row r="8667" spans="4:4" x14ac:dyDescent="0.25">
      <c r="D8667" s="102"/>
    </row>
    <row r="8668" spans="4:4" x14ac:dyDescent="0.25">
      <c r="D8668" s="102"/>
    </row>
    <row r="8669" spans="4:4" x14ac:dyDescent="0.25">
      <c r="D8669" s="102"/>
    </row>
    <row r="8670" spans="4:4" x14ac:dyDescent="0.25">
      <c r="D8670" s="102"/>
    </row>
    <row r="8671" spans="4:4" x14ac:dyDescent="0.25">
      <c r="D8671" s="102"/>
    </row>
    <row r="8672" spans="4:4" x14ac:dyDescent="0.25">
      <c r="D8672" s="102"/>
    </row>
    <row r="8673" spans="4:4" x14ac:dyDescent="0.25">
      <c r="D8673" s="102"/>
    </row>
    <row r="8674" spans="4:4" x14ac:dyDescent="0.25">
      <c r="D8674" s="102"/>
    </row>
    <row r="8675" spans="4:4" x14ac:dyDescent="0.25">
      <c r="D8675" s="102"/>
    </row>
    <row r="8676" spans="4:4" x14ac:dyDescent="0.25">
      <c r="D8676" s="102"/>
    </row>
    <row r="8677" spans="4:4" x14ac:dyDescent="0.25">
      <c r="D8677" s="102"/>
    </row>
    <row r="8678" spans="4:4" x14ac:dyDescent="0.25">
      <c r="D8678" s="102"/>
    </row>
    <row r="8679" spans="4:4" x14ac:dyDescent="0.25">
      <c r="D8679" s="102"/>
    </row>
    <row r="8680" spans="4:4" x14ac:dyDescent="0.25">
      <c r="D8680" s="102"/>
    </row>
    <row r="8681" spans="4:4" x14ac:dyDescent="0.25">
      <c r="D8681" s="102"/>
    </row>
    <row r="8682" spans="4:4" x14ac:dyDescent="0.25">
      <c r="D8682" s="102"/>
    </row>
    <row r="8683" spans="4:4" x14ac:dyDescent="0.25">
      <c r="D8683" s="102"/>
    </row>
    <row r="8684" spans="4:4" x14ac:dyDescent="0.25">
      <c r="D8684" s="102"/>
    </row>
    <row r="8685" spans="4:4" x14ac:dyDescent="0.25">
      <c r="D8685" s="102"/>
    </row>
    <row r="8686" spans="4:4" x14ac:dyDescent="0.25">
      <c r="D8686" s="102"/>
    </row>
    <row r="8687" spans="4:4" x14ac:dyDescent="0.25">
      <c r="D8687" s="102"/>
    </row>
    <row r="8688" spans="4:4" x14ac:dyDescent="0.25">
      <c r="D8688" s="102"/>
    </row>
    <row r="8689" spans="4:4" x14ac:dyDescent="0.25">
      <c r="D8689" s="102"/>
    </row>
    <row r="8690" spans="4:4" x14ac:dyDescent="0.25">
      <c r="D8690" s="102"/>
    </row>
    <row r="8691" spans="4:4" x14ac:dyDescent="0.25">
      <c r="D8691" s="102"/>
    </row>
    <row r="8692" spans="4:4" x14ac:dyDescent="0.25">
      <c r="D8692" s="102"/>
    </row>
    <row r="8693" spans="4:4" x14ac:dyDescent="0.25">
      <c r="D8693" s="102"/>
    </row>
    <row r="8694" spans="4:4" x14ac:dyDescent="0.25">
      <c r="D8694" s="102"/>
    </row>
    <row r="8695" spans="4:4" x14ac:dyDescent="0.25">
      <c r="D8695" s="102"/>
    </row>
    <row r="8696" spans="4:4" x14ac:dyDescent="0.25">
      <c r="D8696" s="102"/>
    </row>
    <row r="8697" spans="4:4" x14ac:dyDescent="0.25">
      <c r="D8697" s="102"/>
    </row>
    <row r="8698" spans="4:4" x14ac:dyDescent="0.25">
      <c r="D8698" s="102"/>
    </row>
    <row r="8699" spans="4:4" x14ac:dyDescent="0.25">
      <c r="D8699" s="102"/>
    </row>
    <row r="8700" spans="4:4" x14ac:dyDescent="0.25">
      <c r="D8700" s="102"/>
    </row>
    <row r="8701" spans="4:4" x14ac:dyDescent="0.25">
      <c r="D8701" s="102"/>
    </row>
    <row r="8702" spans="4:4" x14ac:dyDescent="0.25">
      <c r="D8702" s="102"/>
    </row>
    <row r="8703" spans="4:4" x14ac:dyDescent="0.25">
      <c r="D8703" s="102"/>
    </row>
    <row r="8704" spans="4:4" x14ac:dyDescent="0.25">
      <c r="D8704" s="102"/>
    </row>
    <row r="8705" spans="4:4" x14ac:dyDescent="0.25">
      <c r="D8705" s="102"/>
    </row>
    <row r="8706" spans="4:4" x14ac:dyDescent="0.25">
      <c r="D8706" s="102"/>
    </row>
    <row r="8707" spans="4:4" x14ac:dyDescent="0.25">
      <c r="D8707" s="102"/>
    </row>
    <row r="8708" spans="4:4" x14ac:dyDescent="0.25">
      <c r="D8708" s="102"/>
    </row>
    <row r="8709" spans="4:4" x14ac:dyDescent="0.25">
      <c r="D8709" s="102"/>
    </row>
    <row r="8710" spans="4:4" x14ac:dyDescent="0.25">
      <c r="D8710" s="102"/>
    </row>
    <row r="8711" spans="4:4" x14ac:dyDescent="0.25">
      <c r="D8711" s="102"/>
    </row>
    <row r="8712" spans="4:4" x14ac:dyDescent="0.25">
      <c r="D8712" s="102"/>
    </row>
    <row r="8713" spans="4:4" x14ac:dyDescent="0.25">
      <c r="D8713" s="102"/>
    </row>
    <row r="8714" spans="4:4" x14ac:dyDescent="0.25">
      <c r="D8714" s="102"/>
    </row>
    <row r="8715" spans="4:4" x14ac:dyDescent="0.25">
      <c r="D8715" s="102"/>
    </row>
    <row r="8716" spans="4:4" x14ac:dyDescent="0.25">
      <c r="D8716" s="102"/>
    </row>
    <row r="8717" spans="4:4" x14ac:dyDescent="0.25">
      <c r="D8717" s="102"/>
    </row>
    <row r="8718" spans="4:4" x14ac:dyDescent="0.25">
      <c r="D8718" s="102"/>
    </row>
    <row r="8719" spans="4:4" x14ac:dyDescent="0.25">
      <c r="D8719" s="102"/>
    </row>
    <row r="8720" spans="4:4" x14ac:dyDescent="0.25">
      <c r="D8720" s="102"/>
    </row>
    <row r="8721" spans="4:4" x14ac:dyDescent="0.25">
      <c r="D8721" s="102"/>
    </row>
    <row r="8722" spans="4:4" x14ac:dyDescent="0.25">
      <c r="D8722" s="102"/>
    </row>
    <row r="8723" spans="4:4" x14ac:dyDescent="0.25">
      <c r="D8723" s="102"/>
    </row>
    <row r="8724" spans="4:4" x14ac:dyDescent="0.25">
      <c r="D8724" s="102"/>
    </row>
    <row r="8725" spans="4:4" x14ac:dyDescent="0.25">
      <c r="D8725" s="102"/>
    </row>
    <row r="8726" spans="4:4" x14ac:dyDescent="0.25">
      <c r="D8726" s="102"/>
    </row>
    <row r="8727" spans="4:4" x14ac:dyDescent="0.25">
      <c r="D8727" s="102"/>
    </row>
    <row r="8728" spans="4:4" x14ac:dyDescent="0.25">
      <c r="D8728" s="102"/>
    </row>
    <row r="8729" spans="4:4" x14ac:dyDescent="0.25">
      <c r="D8729" s="102"/>
    </row>
    <row r="8730" spans="4:4" x14ac:dyDescent="0.25">
      <c r="D8730" s="102"/>
    </row>
    <row r="8731" spans="4:4" x14ac:dyDescent="0.25">
      <c r="D8731" s="102"/>
    </row>
    <row r="8732" spans="4:4" x14ac:dyDescent="0.25">
      <c r="D8732" s="102"/>
    </row>
    <row r="8733" spans="4:4" x14ac:dyDescent="0.25">
      <c r="D8733" s="102"/>
    </row>
    <row r="8734" spans="4:4" x14ac:dyDescent="0.25">
      <c r="D8734" s="102"/>
    </row>
    <row r="8735" spans="4:4" x14ac:dyDescent="0.25">
      <c r="D8735" s="102"/>
    </row>
    <row r="8736" spans="4:4" x14ac:dyDescent="0.25">
      <c r="D8736" s="102"/>
    </row>
    <row r="8737" spans="4:4" x14ac:dyDescent="0.25">
      <c r="D8737" s="102"/>
    </row>
    <row r="8738" spans="4:4" x14ac:dyDescent="0.25">
      <c r="D8738" s="102"/>
    </row>
    <row r="8739" spans="4:4" x14ac:dyDescent="0.25">
      <c r="D8739" s="102"/>
    </row>
    <row r="8740" spans="4:4" x14ac:dyDescent="0.25">
      <c r="D8740" s="102"/>
    </row>
    <row r="8741" spans="4:4" x14ac:dyDescent="0.25">
      <c r="D8741" s="102"/>
    </row>
    <row r="8742" spans="4:4" x14ac:dyDescent="0.25">
      <c r="D8742" s="102"/>
    </row>
    <row r="8743" spans="4:4" x14ac:dyDescent="0.25">
      <c r="D8743" s="102"/>
    </row>
    <row r="8744" spans="4:4" x14ac:dyDescent="0.25">
      <c r="D8744" s="102"/>
    </row>
    <row r="8745" spans="4:4" x14ac:dyDescent="0.25">
      <c r="D8745" s="102"/>
    </row>
    <row r="8746" spans="4:4" x14ac:dyDescent="0.25">
      <c r="D8746" s="102"/>
    </row>
    <row r="8747" spans="4:4" x14ac:dyDescent="0.25">
      <c r="D8747" s="102"/>
    </row>
    <row r="8748" spans="4:4" x14ac:dyDescent="0.25">
      <c r="D8748" s="102"/>
    </row>
    <row r="8749" spans="4:4" x14ac:dyDescent="0.25">
      <c r="D8749" s="102"/>
    </row>
    <row r="8750" spans="4:4" x14ac:dyDescent="0.25">
      <c r="D8750" s="102"/>
    </row>
    <row r="8751" spans="4:4" x14ac:dyDescent="0.25">
      <c r="D8751" s="102"/>
    </row>
    <row r="8752" spans="4:4" x14ac:dyDescent="0.25">
      <c r="D8752" s="102"/>
    </row>
    <row r="8753" spans="4:4" x14ac:dyDescent="0.25">
      <c r="D8753" s="102"/>
    </row>
    <row r="8754" spans="4:4" x14ac:dyDescent="0.25">
      <c r="D8754" s="102"/>
    </row>
    <row r="8755" spans="4:4" x14ac:dyDescent="0.25">
      <c r="D8755" s="102"/>
    </row>
    <row r="8756" spans="4:4" x14ac:dyDescent="0.25">
      <c r="D8756" s="102"/>
    </row>
    <row r="8757" spans="4:4" x14ac:dyDescent="0.25">
      <c r="D8757" s="102"/>
    </row>
    <row r="8758" spans="4:4" x14ac:dyDescent="0.25">
      <c r="D8758" s="102"/>
    </row>
    <row r="8759" spans="4:4" x14ac:dyDescent="0.25">
      <c r="D8759" s="102"/>
    </row>
    <row r="8760" spans="4:4" x14ac:dyDescent="0.25">
      <c r="D8760" s="102"/>
    </row>
    <row r="8761" spans="4:4" x14ac:dyDescent="0.25">
      <c r="D8761" s="102"/>
    </row>
    <row r="8762" spans="4:4" x14ac:dyDescent="0.25">
      <c r="D8762" s="102"/>
    </row>
    <row r="8763" spans="4:4" x14ac:dyDescent="0.25">
      <c r="D8763" s="102"/>
    </row>
    <row r="8764" spans="4:4" x14ac:dyDescent="0.25">
      <c r="D8764" s="102"/>
    </row>
    <row r="8765" spans="4:4" x14ac:dyDescent="0.25">
      <c r="D8765" s="102"/>
    </row>
    <row r="8766" spans="4:4" x14ac:dyDescent="0.25">
      <c r="D8766" s="102"/>
    </row>
    <row r="8767" spans="4:4" x14ac:dyDescent="0.25">
      <c r="D8767" s="102"/>
    </row>
    <row r="8768" spans="4:4" x14ac:dyDescent="0.25">
      <c r="D8768" s="102"/>
    </row>
    <row r="8769" spans="4:4" x14ac:dyDescent="0.25">
      <c r="D8769" s="102"/>
    </row>
    <row r="8770" spans="4:4" x14ac:dyDescent="0.25">
      <c r="D8770" s="102"/>
    </row>
    <row r="8771" spans="4:4" x14ac:dyDescent="0.25">
      <c r="D8771" s="102"/>
    </row>
    <row r="8772" spans="4:4" x14ac:dyDescent="0.25">
      <c r="D8772" s="102"/>
    </row>
    <row r="8773" spans="4:4" x14ac:dyDescent="0.25">
      <c r="D8773" s="102"/>
    </row>
    <row r="8774" spans="4:4" x14ac:dyDescent="0.25">
      <c r="D8774" s="102"/>
    </row>
    <row r="8775" spans="4:4" x14ac:dyDescent="0.25">
      <c r="D8775" s="102"/>
    </row>
    <row r="8776" spans="4:4" x14ac:dyDescent="0.25">
      <c r="D8776" s="102"/>
    </row>
    <row r="8777" spans="4:4" x14ac:dyDescent="0.25">
      <c r="D8777" s="102"/>
    </row>
    <row r="8778" spans="4:4" x14ac:dyDescent="0.25">
      <c r="D8778" s="102"/>
    </row>
    <row r="8779" spans="4:4" x14ac:dyDescent="0.25">
      <c r="D8779" s="102"/>
    </row>
    <row r="8780" spans="4:4" x14ac:dyDescent="0.25">
      <c r="D8780" s="102"/>
    </row>
    <row r="8781" spans="4:4" x14ac:dyDescent="0.25">
      <c r="D8781" s="102"/>
    </row>
    <row r="8782" spans="4:4" x14ac:dyDescent="0.25">
      <c r="D8782" s="102"/>
    </row>
    <row r="8783" spans="4:4" x14ac:dyDescent="0.25">
      <c r="D8783" s="102"/>
    </row>
    <row r="8784" spans="4:4" x14ac:dyDescent="0.25">
      <c r="D8784" s="102"/>
    </row>
    <row r="8785" spans="4:4" x14ac:dyDescent="0.25">
      <c r="D8785" s="102"/>
    </row>
    <row r="8786" spans="4:4" x14ac:dyDescent="0.25">
      <c r="D8786" s="102"/>
    </row>
    <row r="8787" spans="4:4" x14ac:dyDescent="0.25">
      <c r="D8787" s="102"/>
    </row>
    <row r="8788" spans="4:4" x14ac:dyDescent="0.25">
      <c r="D8788" s="102"/>
    </row>
    <row r="8789" spans="4:4" x14ac:dyDescent="0.25">
      <c r="D8789" s="102"/>
    </row>
    <row r="8790" spans="4:4" x14ac:dyDescent="0.25">
      <c r="D8790" s="102"/>
    </row>
    <row r="8791" spans="4:4" x14ac:dyDescent="0.25">
      <c r="D8791" s="102"/>
    </row>
    <row r="8792" spans="4:4" x14ac:dyDescent="0.25">
      <c r="D8792" s="102"/>
    </row>
    <row r="8793" spans="4:4" x14ac:dyDescent="0.25">
      <c r="D8793" s="102"/>
    </row>
    <row r="8794" spans="4:4" x14ac:dyDescent="0.25">
      <c r="D8794" s="102"/>
    </row>
    <row r="8795" spans="4:4" x14ac:dyDescent="0.25">
      <c r="D8795" s="102"/>
    </row>
    <row r="8796" spans="4:4" x14ac:dyDescent="0.25">
      <c r="D8796" s="102"/>
    </row>
    <row r="8797" spans="4:4" x14ac:dyDescent="0.25">
      <c r="D8797" s="102"/>
    </row>
    <row r="8798" spans="4:4" x14ac:dyDescent="0.25">
      <c r="D8798" s="102"/>
    </row>
    <row r="8799" spans="4:4" x14ac:dyDescent="0.25">
      <c r="D8799" s="102"/>
    </row>
    <row r="8800" spans="4:4" x14ac:dyDescent="0.25">
      <c r="D8800" s="102"/>
    </row>
    <row r="8801" spans="4:4" x14ac:dyDescent="0.25">
      <c r="D8801" s="102"/>
    </row>
    <row r="8802" spans="4:4" x14ac:dyDescent="0.25">
      <c r="D8802" s="102"/>
    </row>
    <row r="8803" spans="4:4" x14ac:dyDescent="0.25">
      <c r="D8803" s="102"/>
    </row>
    <row r="8804" spans="4:4" x14ac:dyDescent="0.25">
      <c r="D8804" s="102"/>
    </row>
    <row r="8805" spans="4:4" x14ac:dyDescent="0.25">
      <c r="D8805" s="102"/>
    </row>
    <row r="8806" spans="4:4" x14ac:dyDescent="0.25">
      <c r="D8806" s="102"/>
    </row>
    <row r="8807" spans="4:4" x14ac:dyDescent="0.25">
      <c r="D8807" s="102"/>
    </row>
    <row r="8808" spans="4:4" x14ac:dyDescent="0.25">
      <c r="D8808" s="102"/>
    </row>
    <row r="8809" spans="4:4" x14ac:dyDescent="0.25">
      <c r="D8809" s="102"/>
    </row>
    <row r="8810" spans="4:4" x14ac:dyDescent="0.25">
      <c r="D8810" s="102"/>
    </row>
    <row r="8811" spans="4:4" x14ac:dyDescent="0.25">
      <c r="D8811" s="102"/>
    </row>
    <row r="8812" spans="4:4" x14ac:dyDescent="0.25">
      <c r="D8812" s="102"/>
    </row>
    <row r="8813" spans="4:4" x14ac:dyDescent="0.25">
      <c r="D8813" s="102"/>
    </row>
    <row r="8814" spans="4:4" x14ac:dyDescent="0.25">
      <c r="D8814" s="102"/>
    </row>
    <row r="8815" spans="4:4" x14ac:dyDescent="0.25">
      <c r="D8815" s="102"/>
    </row>
    <row r="8816" spans="4:4" x14ac:dyDescent="0.25">
      <c r="D8816" s="102"/>
    </row>
    <row r="8817" spans="4:4" x14ac:dyDescent="0.25">
      <c r="D8817" s="102"/>
    </row>
    <row r="8818" spans="4:4" x14ac:dyDescent="0.25">
      <c r="D8818" s="102"/>
    </row>
    <row r="8819" spans="4:4" x14ac:dyDescent="0.25">
      <c r="D8819" s="102"/>
    </row>
    <row r="8820" spans="4:4" x14ac:dyDescent="0.25">
      <c r="D8820" s="102"/>
    </row>
    <row r="8821" spans="4:4" x14ac:dyDescent="0.25">
      <c r="D8821" s="102"/>
    </row>
    <row r="8822" spans="4:4" x14ac:dyDescent="0.25">
      <c r="D8822" s="102"/>
    </row>
    <row r="8823" spans="4:4" x14ac:dyDescent="0.25">
      <c r="D8823" s="102"/>
    </row>
    <row r="8824" spans="4:4" x14ac:dyDescent="0.25">
      <c r="D8824" s="102"/>
    </row>
    <row r="8825" spans="4:4" x14ac:dyDescent="0.25">
      <c r="D8825" s="102"/>
    </row>
    <row r="8826" spans="4:4" x14ac:dyDescent="0.25">
      <c r="D8826" s="102"/>
    </row>
    <row r="8827" spans="4:4" x14ac:dyDescent="0.25">
      <c r="D8827" s="102"/>
    </row>
    <row r="8828" spans="4:4" x14ac:dyDescent="0.25">
      <c r="D8828" s="102"/>
    </row>
    <row r="8829" spans="4:4" x14ac:dyDescent="0.25">
      <c r="D8829" s="102"/>
    </row>
    <row r="8830" spans="4:4" x14ac:dyDescent="0.25">
      <c r="D8830" s="102"/>
    </row>
    <row r="8831" spans="4:4" x14ac:dyDescent="0.25">
      <c r="D8831" s="102"/>
    </row>
    <row r="8832" spans="4:4" x14ac:dyDescent="0.25">
      <c r="D8832" s="102"/>
    </row>
    <row r="8833" spans="4:4" x14ac:dyDescent="0.25">
      <c r="D8833" s="102"/>
    </row>
    <row r="8834" spans="4:4" x14ac:dyDescent="0.25">
      <c r="D8834" s="102"/>
    </row>
    <row r="8835" spans="4:4" x14ac:dyDescent="0.25">
      <c r="D8835" s="102"/>
    </row>
    <row r="8836" spans="4:4" x14ac:dyDescent="0.25">
      <c r="D8836" s="102"/>
    </row>
    <row r="8837" spans="4:4" x14ac:dyDescent="0.25">
      <c r="D8837" s="102"/>
    </row>
    <row r="8838" spans="4:4" x14ac:dyDescent="0.25">
      <c r="D8838" s="102"/>
    </row>
    <row r="8839" spans="4:4" x14ac:dyDescent="0.25">
      <c r="D8839" s="102"/>
    </row>
    <row r="8840" spans="4:4" x14ac:dyDescent="0.25">
      <c r="D8840" s="102"/>
    </row>
    <row r="8841" spans="4:4" x14ac:dyDescent="0.25">
      <c r="D8841" s="102"/>
    </row>
    <row r="8842" spans="4:4" x14ac:dyDescent="0.25">
      <c r="D8842" s="102"/>
    </row>
    <row r="8843" spans="4:4" x14ac:dyDescent="0.25">
      <c r="D8843" s="102"/>
    </row>
    <row r="8844" spans="4:4" x14ac:dyDescent="0.25">
      <c r="D8844" s="102"/>
    </row>
    <row r="8845" spans="4:4" x14ac:dyDescent="0.25">
      <c r="D8845" s="102"/>
    </row>
    <row r="8846" spans="4:4" x14ac:dyDescent="0.25">
      <c r="D8846" s="102"/>
    </row>
    <row r="8847" spans="4:4" x14ac:dyDescent="0.25">
      <c r="D8847" s="102"/>
    </row>
    <row r="8848" spans="4:4" x14ac:dyDescent="0.25">
      <c r="D8848" s="102"/>
    </row>
    <row r="8849" spans="4:4" x14ac:dyDescent="0.25">
      <c r="D8849" s="102"/>
    </row>
    <row r="8850" spans="4:4" x14ac:dyDescent="0.25">
      <c r="D8850" s="102"/>
    </row>
    <row r="8851" spans="4:4" x14ac:dyDescent="0.25">
      <c r="D8851" s="102"/>
    </row>
    <row r="8852" spans="4:4" x14ac:dyDescent="0.25">
      <c r="D8852" s="102"/>
    </row>
    <row r="8853" spans="4:4" x14ac:dyDescent="0.25">
      <c r="D8853" s="102"/>
    </row>
    <row r="8854" spans="4:4" x14ac:dyDescent="0.25">
      <c r="D8854" s="102"/>
    </row>
    <row r="8855" spans="4:4" x14ac:dyDescent="0.25">
      <c r="D8855" s="102"/>
    </row>
    <row r="8856" spans="4:4" x14ac:dyDescent="0.25">
      <c r="D8856" s="102"/>
    </row>
    <row r="8857" spans="4:4" x14ac:dyDescent="0.25">
      <c r="D8857" s="102"/>
    </row>
    <row r="8858" spans="4:4" x14ac:dyDescent="0.25">
      <c r="D8858" s="102"/>
    </row>
    <row r="8859" spans="4:4" x14ac:dyDescent="0.25">
      <c r="D8859" s="102"/>
    </row>
    <row r="8860" spans="4:4" x14ac:dyDescent="0.25">
      <c r="D8860" s="102"/>
    </row>
    <row r="8861" spans="4:4" x14ac:dyDescent="0.25">
      <c r="D8861" s="102"/>
    </row>
    <row r="8862" spans="4:4" x14ac:dyDescent="0.25">
      <c r="D8862" s="102"/>
    </row>
    <row r="8863" spans="4:4" x14ac:dyDescent="0.25">
      <c r="D8863" s="102"/>
    </row>
    <row r="8864" spans="4:4" x14ac:dyDescent="0.25">
      <c r="D8864" s="102"/>
    </row>
    <row r="8865" spans="4:4" x14ac:dyDescent="0.25">
      <c r="D8865" s="102"/>
    </row>
    <row r="8866" spans="4:4" x14ac:dyDescent="0.25">
      <c r="D8866" s="102"/>
    </row>
    <row r="8867" spans="4:4" x14ac:dyDescent="0.25">
      <c r="D8867" s="102"/>
    </row>
    <row r="8868" spans="4:4" x14ac:dyDescent="0.25">
      <c r="D8868" s="102"/>
    </row>
    <row r="8869" spans="4:4" x14ac:dyDescent="0.25">
      <c r="D8869" s="102"/>
    </row>
    <row r="8870" spans="4:4" x14ac:dyDescent="0.25">
      <c r="D8870" s="102"/>
    </row>
    <row r="8871" spans="4:4" x14ac:dyDescent="0.25">
      <c r="D8871" s="102"/>
    </row>
    <row r="8872" spans="4:4" x14ac:dyDescent="0.25">
      <c r="D8872" s="102"/>
    </row>
    <row r="8873" spans="4:4" x14ac:dyDescent="0.25">
      <c r="D8873" s="102"/>
    </row>
    <row r="8874" spans="4:4" x14ac:dyDescent="0.25">
      <c r="D8874" s="102"/>
    </row>
    <row r="8875" spans="4:4" x14ac:dyDescent="0.25">
      <c r="D8875" s="102"/>
    </row>
    <row r="8876" spans="4:4" x14ac:dyDescent="0.25">
      <c r="D8876" s="102"/>
    </row>
    <row r="8877" spans="4:4" x14ac:dyDescent="0.25">
      <c r="D8877" s="102"/>
    </row>
    <row r="8878" spans="4:4" x14ac:dyDescent="0.25">
      <c r="D8878" s="102"/>
    </row>
    <row r="8879" spans="4:4" x14ac:dyDescent="0.25">
      <c r="D8879" s="102"/>
    </row>
    <row r="8880" spans="4:4" x14ac:dyDescent="0.25">
      <c r="D8880" s="102"/>
    </row>
    <row r="8881" spans="4:4" x14ac:dyDescent="0.25">
      <c r="D8881" s="102"/>
    </row>
    <row r="8882" spans="4:4" x14ac:dyDescent="0.25">
      <c r="D8882" s="102"/>
    </row>
    <row r="8883" spans="4:4" x14ac:dyDescent="0.25">
      <c r="D8883" s="102"/>
    </row>
    <row r="8884" spans="4:4" x14ac:dyDescent="0.25">
      <c r="D8884" s="102"/>
    </row>
    <row r="8885" spans="4:4" x14ac:dyDescent="0.25">
      <c r="D8885" s="102"/>
    </row>
    <row r="8886" spans="4:4" x14ac:dyDescent="0.25">
      <c r="D8886" s="102"/>
    </row>
    <row r="8887" spans="4:4" x14ac:dyDescent="0.25">
      <c r="D8887" s="102"/>
    </row>
    <row r="8888" spans="4:4" x14ac:dyDescent="0.25">
      <c r="D8888" s="102"/>
    </row>
    <row r="8889" spans="4:4" x14ac:dyDescent="0.25">
      <c r="D8889" s="102"/>
    </row>
    <row r="8890" spans="4:4" x14ac:dyDescent="0.25">
      <c r="D8890" s="102"/>
    </row>
    <row r="8891" spans="4:4" x14ac:dyDescent="0.25">
      <c r="D8891" s="102"/>
    </row>
    <row r="8892" spans="4:4" x14ac:dyDescent="0.25">
      <c r="D8892" s="102"/>
    </row>
    <row r="8893" spans="4:4" x14ac:dyDescent="0.25">
      <c r="D8893" s="102"/>
    </row>
    <row r="8894" spans="4:4" x14ac:dyDescent="0.25">
      <c r="D8894" s="102"/>
    </row>
    <row r="8895" spans="4:4" x14ac:dyDescent="0.25">
      <c r="D8895" s="102"/>
    </row>
    <row r="8896" spans="4:4" x14ac:dyDescent="0.25">
      <c r="D8896" s="102"/>
    </row>
    <row r="8897" spans="4:4" x14ac:dyDescent="0.25">
      <c r="D8897" s="102"/>
    </row>
    <row r="8898" spans="4:4" x14ac:dyDescent="0.25">
      <c r="D8898" s="102"/>
    </row>
    <row r="8899" spans="4:4" x14ac:dyDescent="0.25">
      <c r="D8899" s="102"/>
    </row>
    <row r="8900" spans="4:4" x14ac:dyDescent="0.25">
      <c r="D8900" s="102"/>
    </row>
    <row r="8901" spans="4:4" x14ac:dyDescent="0.25">
      <c r="D8901" s="102"/>
    </row>
    <row r="8902" spans="4:4" x14ac:dyDescent="0.25">
      <c r="D8902" s="102"/>
    </row>
    <row r="8903" spans="4:4" x14ac:dyDescent="0.25">
      <c r="D8903" s="102"/>
    </row>
    <row r="8904" spans="4:4" x14ac:dyDescent="0.25">
      <c r="D8904" s="102"/>
    </row>
    <row r="8905" spans="4:4" x14ac:dyDescent="0.25">
      <c r="D8905" s="102"/>
    </row>
    <row r="8906" spans="4:4" x14ac:dyDescent="0.25">
      <c r="D8906" s="102"/>
    </row>
    <row r="8907" spans="4:4" x14ac:dyDescent="0.25">
      <c r="D8907" s="102"/>
    </row>
    <row r="8908" spans="4:4" x14ac:dyDescent="0.25">
      <c r="D8908" s="102"/>
    </row>
    <row r="8909" spans="4:4" x14ac:dyDescent="0.25">
      <c r="D8909" s="102"/>
    </row>
    <row r="8910" spans="4:4" x14ac:dyDescent="0.25">
      <c r="D8910" s="102"/>
    </row>
    <row r="8911" spans="4:4" x14ac:dyDescent="0.25">
      <c r="D8911" s="102"/>
    </row>
    <row r="8912" spans="4:4" x14ac:dyDescent="0.25">
      <c r="D8912" s="102"/>
    </row>
    <row r="8913" spans="4:4" x14ac:dyDescent="0.25">
      <c r="D8913" s="102"/>
    </row>
    <row r="8914" spans="4:4" x14ac:dyDescent="0.25">
      <c r="D8914" s="102"/>
    </row>
    <row r="8915" spans="4:4" x14ac:dyDescent="0.25">
      <c r="D8915" s="102"/>
    </row>
    <row r="8916" spans="4:4" x14ac:dyDescent="0.25">
      <c r="D8916" s="102"/>
    </row>
    <row r="8917" spans="4:4" x14ac:dyDescent="0.25">
      <c r="D8917" s="102"/>
    </row>
    <row r="8918" spans="4:4" x14ac:dyDescent="0.25">
      <c r="D8918" s="102"/>
    </row>
    <row r="8919" spans="4:4" x14ac:dyDescent="0.25">
      <c r="D8919" s="102"/>
    </row>
    <row r="8920" spans="4:4" x14ac:dyDescent="0.25">
      <c r="D8920" s="102"/>
    </row>
    <row r="8921" spans="4:4" x14ac:dyDescent="0.25">
      <c r="D8921" s="102"/>
    </row>
    <row r="8922" spans="4:4" x14ac:dyDescent="0.25">
      <c r="D8922" s="102"/>
    </row>
    <row r="8923" spans="4:4" x14ac:dyDescent="0.25">
      <c r="D8923" s="102"/>
    </row>
    <row r="8924" spans="4:4" x14ac:dyDescent="0.25">
      <c r="D8924" s="102"/>
    </row>
    <row r="8925" spans="4:4" x14ac:dyDescent="0.25">
      <c r="D8925" s="102"/>
    </row>
    <row r="8926" spans="4:4" x14ac:dyDescent="0.25">
      <c r="D8926" s="102"/>
    </row>
    <row r="8927" spans="4:4" x14ac:dyDescent="0.25">
      <c r="D8927" s="102"/>
    </row>
    <row r="8928" spans="4:4" x14ac:dyDescent="0.25">
      <c r="D8928" s="102"/>
    </row>
    <row r="8929" spans="4:4" x14ac:dyDescent="0.25">
      <c r="D8929" s="102"/>
    </row>
    <row r="8930" spans="4:4" x14ac:dyDescent="0.25">
      <c r="D8930" s="102"/>
    </row>
    <row r="8931" spans="4:4" x14ac:dyDescent="0.25">
      <c r="D8931" s="102"/>
    </row>
    <row r="8932" spans="4:4" x14ac:dyDescent="0.25">
      <c r="D8932" s="102"/>
    </row>
    <row r="8933" spans="4:4" x14ac:dyDescent="0.25">
      <c r="D8933" s="102"/>
    </row>
    <row r="8934" spans="4:4" x14ac:dyDescent="0.25">
      <c r="D8934" s="102"/>
    </row>
    <row r="8935" spans="4:4" x14ac:dyDescent="0.25">
      <c r="D8935" s="102"/>
    </row>
    <row r="8936" spans="4:4" x14ac:dyDescent="0.25">
      <c r="D8936" s="102"/>
    </row>
    <row r="8937" spans="4:4" x14ac:dyDescent="0.25">
      <c r="D8937" s="102"/>
    </row>
    <row r="8938" spans="4:4" x14ac:dyDescent="0.25">
      <c r="D8938" s="102"/>
    </row>
    <row r="8939" spans="4:4" x14ac:dyDescent="0.25">
      <c r="D8939" s="102"/>
    </row>
    <row r="8940" spans="4:4" x14ac:dyDescent="0.25">
      <c r="D8940" s="102"/>
    </row>
    <row r="8941" spans="4:4" x14ac:dyDescent="0.25">
      <c r="D8941" s="102"/>
    </row>
    <row r="8942" spans="4:4" x14ac:dyDescent="0.25">
      <c r="D8942" s="102"/>
    </row>
    <row r="8943" spans="4:4" x14ac:dyDescent="0.25">
      <c r="D8943" s="102"/>
    </row>
    <row r="8944" spans="4:4" x14ac:dyDescent="0.25">
      <c r="D8944" s="102"/>
    </row>
    <row r="8945" spans="4:4" x14ac:dyDescent="0.25">
      <c r="D8945" s="102"/>
    </row>
    <row r="8946" spans="4:4" x14ac:dyDescent="0.25">
      <c r="D8946" s="102"/>
    </row>
    <row r="8947" spans="4:4" x14ac:dyDescent="0.25">
      <c r="D8947" s="102"/>
    </row>
    <row r="8948" spans="4:4" x14ac:dyDescent="0.25">
      <c r="D8948" s="102"/>
    </row>
    <row r="8949" spans="4:4" x14ac:dyDescent="0.25">
      <c r="D8949" s="102"/>
    </row>
    <row r="8950" spans="4:4" x14ac:dyDescent="0.25">
      <c r="D8950" s="102"/>
    </row>
    <row r="8951" spans="4:4" x14ac:dyDescent="0.25">
      <c r="D8951" s="102"/>
    </row>
    <row r="8952" spans="4:4" x14ac:dyDescent="0.25">
      <c r="D8952" s="102"/>
    </row>
    <row r="8953" spans="4:4" x14ac:dyDescent="0.25">
      <c r="D8953" s="102"/>
    </row>
    <row r="8954" spans="4:4" x14ac:dyDescent="0.25">
      <c r="D8954" s="102"/>
    </row>
    <row r="8955" spans="4:4" x14ac:dyDescent="0.25">
      <c r="D8955" s="102"/>
    </row>
    <row r="8956" spans="4:4" x14ac:dyDescent="0.25">
      <c r="D8956" s="102"/>
    </row>
    <row r="8957" spans="4:4" x14ac:dyDescent="0.25">
      <c r="D8957" s="102"/>
    </row>
    <row r="8958" spans="4:4" x14ac:dyDescent="0.25">
      <c r="D8958" s="102"/>
    </row>
    <row r="8959" spans="4:4" x14ac:dyDescent="0.25">
      <c r="D8959" s="102"/>
    </row>
    <row r="8960" spans="4:4" x14ac:dyDescent="0.25">
      <c r="D8960" s="102"/>
    </row>
    <row r="8961" spans="4:4" x14ac:dyDescent="0.25">
      <c r="D8961" s="102"/>
    </row>
    <row r="8962" spans="4:4" x14ac:dyDescent="0.25">
      <c r="D8962" s="102"/>
    </row>
    <row r="8963" spans="4:4" x14ac:dyDescent="0.25">
      <c r="D8963" s="102"/>
    </row>
    <row r="8964" spans="4:4" x14ac:dyDescent="0.25">
      <c r="D8964" s="102"/>
    </row>
    <row r="8965" spans="4:4" x14ac:dyDescent="0.25">
      <c r="D8965" s="102"/>
    </row>
    <row r="8966" spans="4:4" x14ac:dyDescent="0.25">
      <c r="D8966" s="102"/>
    </row>
    <row r="8967" spans="4:4" x14ac:dyDescent="0.25">
      <c r="D8967" s="102"/>
    </row>
    <row r="8968" spans="4:4" x14ac:dyDescent="0.25">
      <c r="D8968" s="102"/>
    </row>
    <row r="8969" spans="4:4" x14ac:dyDescent="0.25">
      <c r="D8969" s="102"/>
    </row>
    <row r="8970" spans="4:4" x14ac:dyDescent="0.25">
      <c r="D8970" s="102"/>
    </row>
    <row r="8971" spans="4:4" x14ac:dyDescent="0.25">
      <c r="D8971" s="102"/>
    </row>
    <row r="8972" spans="4:4" x14ac:dyDescent="0.25">
      <c r="D8972" s="102"/>
    </row>
    <row r="8973" spans="4:4" x14ac:dyDescent="0.25">
      <c r="D8973" s="102"/>
    </row>
    <row r="8974" spans="4:4" x14ac:dyDescent="0.25">
      <c r="D8974" s="102"/>
    </row>
    <row r="8975" spans="4:4" x14ac:dyDescent="0.25">
      <c r="D8975" s="102"/>
    </row>
    <row r="8976" spans="4:4" x14ac:dyDescent="0.25">
      <c r="D8976" s="102"/>
    </row>
    <row r="8977" spans="4:4" x14ac:dyDescent="0.25">
      <c r="D8977" s="102"/>
    </row>
    <row r="8978" spans="4:4" x14ac:dyDescent="0.25">
      <c r="D8978" s="102"/>
    </row>
    <row r="8979" spans="4:4" x14ac:dyDescent="0.25">
      <c r="D8979" s="102"/>
    </row>
    <row r="8980" spans="4:4" x14ac:dyDescent="0.25">
      <c r="D8980" s="102"/>
    </row>
    <row r="8981" spans="4:4" x14ac:dyDescent="0.25">
      <c r="D8981" s="102"/>
    </row>
    <row r="8982" spans="4:4" x14ac:dyDescent="0.25">
      <c r="D8982" s="102"/>
    </row>
    <row r="8983" spans="4:4" x14ac:dyDescent="0.25">
      <c r="D8983" s="102"/>
    </row>
    <row r="8984" spans="4:4" x14ac:dyDescent="0.25">
      <c r="D8984" s="102"/>
    </row>
    <row r="8985" spans="4:4" x14ac:dyDescent="0.25">
      <c r="D8985" s="102"/>
    </row>
    <row r="8986" spans="4:4" x14ac:dyDescent="0.25">
      <c r="D8986" s="102"/>
    </row>
    <row r="8987" spans="4:4" x14ac:dyDescent="0.25">
      <c r="D8987" s="102"/>
    </row>
    <row r="8988" spans="4:4" x14ac:dyDescent="0.25">
      <c r="D8988" s="102"/>
    </row>
    <row r="8989" spans="4:4" x14ac:dyDescent="0.25">
      <c r="D8989" s="102"/>
    </row>
    <row r="8990" spans="4:4" x14ac:dyDescent="0.25">
      <c r="D8990" s="102"/>
    </row>
    <row r="8991" spans="4:4" x14ac:dyDescent="0.25">
      <c r="D8991" s="102"/>
    </row>
    <row r="8992" spans="4:4" x14ac:dyDescent="0.25">
      <c r="D8992" s="102"/>
    </row>
    <row r="8993" spans="4:4" x14ac:dyDescent="0.25">
      <c r="D8993" s="102"/>
    </row>
    <row r="8994" spans="4:4" x14ac:dyDescent="0.25">
      <c r="D8994" s="102"/>
    </row>
    <row r="8995" spans="4:4" x14ac:dyDescent="0.25">
      <c r="D8995" s="102"/>
    </row>
    <row r="8996" spans="4:4" x14ac:dyDescent="0.25">
      <c r="D8996" s="102"/>
    </row>
    <row r="8997" spans="4:4" x14ac:dyDescent="0.25">
      <c r="D8997" s="102"/>
    </row>
    <row r="8998" spans="4:4" x14ac:dyDescent="0.25">
      <c r="D8998" s="102"/>
    </row>
    <row r="8999" spans="4:4" x14ac:dyDescent="0.25">
      <c r="D8999" s="102"/>
    </row>
    <row r="9000" spans="4:4" x14ac:dyDescent="0.25">
      <c r="D9000" s="102"/>
    </row>
    <row r="9001" spans="4:4" x14ac:dyDescent="0.25">
      <c r="D9001" s="102"/>
    </row>
    <row r="9002" spans="4:4" x14ac:dyDescent="0.25">
      <c r="D9002" s="102"/>
    </row>
    <row r="9003" spans="4:4" x14ac:dyDescent="0.25">
      <c r="D9003" s="102"/>
    </row>
    <row r="9004" spans="4:4" x14ac:dyDescent="0.25">
      <c r="D9004" s="102"/>
    </row>
    <row r="9005" spans="4:4" x14ac:dyDescent="0.25">
      <c r="D9005" s="102"/>
    </row>
    <row r="9006" spans="4:4" x14ac:dyDescent="0.25">
      <c r="D9006" s="102"/>
    </row>
    <row r="9007" spans="4:4" x14ac:dyDescent="0.25">
      <c r="D9007" s="102"/>
    </row>
    <row r="9008" spans="4:4" x14ac:dyDescent="0.25">
      <c r="D9008" s="102"/>
    </row>
    <row r="9009" spans="4:4" x14ac:dyDescent="0.25">
      <c r="D9009" s="102"/>
    </row>
    <row r="9010" spans="4:4" x14ac:dyDescent="0.25">
      <c r="D9010" s="102"/>
    </row>
    <row r="9011" spans="4:4" x14ac:dyDescent="0.25">
      <c r="D9011" s="102"/>
    </row>
    <row r="9012" spans="4:4" x14ac:dyDescent="0.25">
      <c r="D9012" s="102"/>
    </row>
    <row r="9013" spans="4:4" x14ac:dyDescent="0.25">
      <c r="D9013" s="102"/>
    </row>
    <row r="9014" spans="4:4" x14ac:dyDescent="0.25">
      <c r="D9014" s="102"/>
    </row>
    <row r="9015" spans="4:4" x14ac:dyDescent="0.25">
      <c r="D9015" s="102"/>
    </row>
    <row r="9016" spans="4:4" x14ac:dyDescent="0.25">
      <c r="D9016" s="102"/>
    </row>
    <row r="9017" spans="4:4" x14ac:dyDescent="0.25">
      <c r="D9017" s="102"/>
    </row>
    <row r="9018" spans="4:4" x14ac:dyDescent="0.25">
      <c r="D9018" s="102"/>
    </row>
    <row r="9019" spans="4:4" x14ac:dyDescent="0.25">
      <c r="D9019" s="102"/>
    </row>
    <row r="9020" spans="4:4" x14ac:dyDescent="0.25">
      <c r="D9020" s="102"/>
    </row>
    <row r="9021" spans="4:4" x14ac:dyDescent="0.25">
      <c r="D9021" s="102"/>
    </row>
    <row r="9022" spans="4:4" x14ac:dyDescent="0.25">
      <c r="D9022" s="102"/>
    </row>
    <row r="9023" spans="4:4" x14ac:dyDescent="0.25">
      <c r="D9023" s="102"/>
    </row>
    <row r="9024" spans="4:4" x14ac:dyDescent="0.25">
      <c r="D9024" s="102"/>
    </row>
    <row r="9025" spans="4:4" x14ac:dyDescent="0.25">
      <c r="D9025" s="102"/>
    </row>
    <row r="9026" spans="4:4" x14ac:dyDescent="0.25">
      <c r="D9026" s="102"/>
    </row>
    <row r="9027" spans="4:4" x14ac:dyDescent="0.25">
      <c r="D9027" s="102"/>
    </row>
    <row r="9028" spans="4:4" x14ac:dyDescent="0.25">
      <c r="D9028" s="102"/>
    </row>
    <row r="9029" spans="4:4" x14ac:dyDescent="0.25">
      <c r="D9029" s="102"/>
    </row>
    <row r="9030" spans="4:4" x14ac:dyDescent="0.25">
      <c r="D9030" s="102"/>
    </row>
    <row r="9031" spans="4:4" x14ac:dyDescent="0.25">
      <c r="D9031" s="102"/>
    </row>
    <row r="9032" spans="4:4" x14ac:dyDescent="0.25">
      <c r="D9032" s="102"/>
    </row>
    <row r="9033" spans="4:4" x14ac:dyDescent="0.25">
      <c r="D9033" s="102"/>
    </row>
    <row r="9034" spans="4:4" x14ac:dyDescent="0.25">
      <c r="D9034" s="102"/>
    </row>
    <row r="9035" spans="4:4" x14ac:dyDescent="0.25">
      <c r="D9035" s="102"/>
    </row>
    <row r="9036" spans="4:4" x14ac:dyDescent="0.25">
      <c r="D9036" s="102"/>
    </row>
    <row r="9037" spans="4:4" x14ac:dyDescent="0.25">
      <c r="D9037" s="102"/>
    </row>
    <row r="9038" spans="4:4" x14ac:dyDescent="0.25">
      <c r="D9038" s="102"/>
    </row>
    <row r="9039" spans="4:4" x14ac:dyDescent="0.25">
      <c r="D9039" s="102"/>
    </row>
    <row r="9040" spans="4:4" x14ac:dyDescent="0.25">
      <c r="D9040" s="102"/>
    </row>
    <row r="9041" spans="4:4" x14ac:dyDescent="0.25">
      <c r="D9041" s="102"/>
    </row>
    <row r="9042" spans="4:4" x14ac:dyDescent="0.25">
      <c r="D9042" s="102"/>
    </row>
    <row r="9043" spans="4:4" x14ac:dyDescent="0.25">
      <c r="D9043" s="102"/>
    </row>
    <row r="9044" spans="4:4" x14ac:dyDescent="0.25">
      <c r="D9044" s="102"/>
    </row>
    <row r="9045" spans="4:4" x14ac:dyDescent="0.25">
      <c r="D9045" s="102"/>
    </row>
    <row r="9046" spans="4:4" x14ac:dyDescent="0.25">
      <c r="D9046" s="102"/>
    </row>
    <row r="9047" spans="4:4" x14ac:dyDescent="0.25">
      <c r="D9047" s="102"/>
    </row>
    <row r="9048" spans="4:4" x14ac:dyDescent="0.25">
      <c r="D9048" s="102"/>
    </row>
    <row r="9049" spans="4:4" x14ac:dyDescent="0.25">
      <c r="D9049" s="102"/>
    </row>
    <row r="9050" spans="4:4" x14ac:dyDescent="0.25">
      <c r="D9050" s="102"/>
    </row>
    <row r="9051" spans="4:4" x14ac:dyDescent="0.25">
      <c r="D9051" s="102"/>
    </row>
    <row r="9052" spans="4:4" x14ac:dyDescent="0.25">
      <c r="D9052" s="102"/>
    </row>
    <row r="9053" spans="4:4" x14ac:dyDescent="0.25">
      <c r="D9053" s="102"/>
    </row>
    <row r="9054" spans="4:4" x14ac:dyDescent="0.25">
      <c r="D9054" s="102"/>
    </row>
    <row r="9055" spans="4:4" x14ac:dyDescent="0.25">
      <c r="D9055" s="102"/>
    </row>
    <row r="9056" spans="4:4" x14ac:dyDescent="0.25">
      <c r="D9056" s="102"/>
    </row>
    <row r="9057" spans="4:4" x14ac:dyDescent="0.25">
      <c r="D9057" s="102"/>
    </row>
    <row r="9058" spans="4:4" x14ac:dyDescent="0.25">
      <c r="D9058" s="102"/>
    </row>
    <row r="9059" spans="4:4" x14ac:dyDescent="0.25">
      <c r="D9059" s="102"/>
    </row>
    <row r="9060" spans="4:4" x14ac:dyDescent="0.25">
      <c r="D9060" s="102"/>
    </row>
    <row r="9061" spans="4:4" x14ac:dyDescent="0.25">
      <c r="D9061" s="102"/>
    </row>
    <row r="9062" spans="4:4" x14ac:dyDescent="0.25">
      <c r="D9062" s="102"/>
    </row>
    <row r="9063" spans="4:4" x14ac:dyDescent="0.25">
      <c r="D9063" s="102"/>
    </row>
    <row r="9064" spans="4:4" x14ac:dyDescent="0.25">
      <c r="D9064" s="102"/>
    </row>
    <row r="9065" spans="4:4" x14ac:dyDescent="0.25">
      <c r="D9065" s="102"/>
    </row>
    <row r="9066" spans="4:4" x14ac:dyDescent="0.25">
      <c r="D9066" s="102"/>
    </row>
    <row r="9067" spans="4:4" x14ac:dyDescent="0.25">
      <c r="D9067" s="102"/>
    </row>
    <row r="9068" spans="4:4" x14ac:dyDescent="0.25">
      <c r="D9068" s="102"/>
    </row>
    <row r="9069" spans="4:4" x14ac:dyDescent="0.25">
      <c r="D9069" s="102"/>
    </row>
    <row r="9070" spans="4:4" x14ac:dyDescent="0.25">
      <c r="D9070" s="102"/>
    </row>
    <row r="9071" spans="4:4" x14ac:dyDescent="0.25">
      <c r="D9071" s="102"/>
    </row>
    <row r="9072" spans="4:4" x14ac:dyDescent="0.25">
      <c r="D9072" s="102"/>
    </row>
    <row r="9073" spans="4:4" x14ac:dyDescent="0.25">
      <c r="D9073" s="102"/>
    </row>
    <row r="9074" spans="4:4" x14ac:dyDescent="0.25">
      <c r="D9074" s="102"/>
    </row>
    <row r="9075" spans="4:4" x14ac:dyDescent="0.25">
      <c r="D9075" s="102"/>
    </row>
    <row r="9076" spans="4:4" x14ac:dyDescent="0.25">
      <c r="D9076" s="102"/>
    </row>
    <row r="9077" spans="4:4" x14ac:dyDescent="0.25">
      <c r="D9077" s="102"/>
    </row>
    <row r="9078" spans="4:4" x14ac:dyDescent="0.25">
      <c r="D9078" s="102"/>
    </row>
    <row r="9079" spans="4:4" x14ac:dyDescent="0.25">
      <c r="D9079" s="102"/>
    </row>
    <row r="9080" spans="4:4" x14ac:dyDescent="0.25">
      <c r="D9080" s="102"/>
    </row>
    <row r="9081" spans="4:4" x14ac:dyDescent="0.25">
      <c r="D9081" s="102"/>
    </row>
    <row r="9082" spans="4:4" x14ac:dyDescent="0.25">
      <c r="D9082" s="102"/>
    </row>
    <row r="9083" spans="4:4" x14ac:dyDescent="0.25">
      <c r="D9083" s="102"/>
    </row>
    <row r="9084" spans="4:4" x14ac:dyDescent="0.25">
      <c r="D9084" s="102"/>
    </row>
    <row r="9085" spans="4:4" x14ac:dyDescent="0.25">
      <c r="D9085" s="102"/>
    </row>
    <row r="9086" spans="4:4" x14ac:dyDescent="0.25">
      <c r="D9086" s="102"/>
    </row>
    <row r="9087" spans="4:4" x14ac:dyDescent="0.25">
      <c r="D9087" s="102"/>
    </row>
    <row r="9088" spans="4:4" x14ac:dyDescent="0.25">
      <c r="D9088" s="102"/>
    </row>
    <row r="9089" spans="4:4" x14ac:dyDescent="0.25">
      <c r="D9089" s="102"/>
    </row>
    <row r="9090" spans="4:4" x14ac:dyDescent="0.25">
      <c r="D9090" s="102"/>
    </row>
    <row r="9091" spans="4:4" x14ac:dyDescent="0.25">
      <c r="D9091" s="102"/>
    </row>
    <row r="9092" spans="4:4" x14ac:dyDescent="0.25">
      <c r="D9092" s="102"/>
    </row>
    <row r="9093" spans="4:4" x14ac:dyDescent="0.25">
      <c r="D9093" s="102"/>
    </row>
    <row r="9094" spans="4:4" x14ac:dyDescent="0.25">
      <c r="D9094" s="102"/>
    </row>
    <row r="9095" spans="4:4" x14ac:dyDescent="0.25">
      <c r="D9095" s="102"/>
    </row>
    <row r="9096" spans="4:4" x14ac:dyDescent="0.25">
      <c r="D9096" s="102"/>
    </row>
    <row r="9097" spans="4:4" x14ac:dyDescent="0.25">
      <c r="D9097" s="102"/>
    </row>
    <row r="9098" spans="4:4" x14ac:dyDescent="0.25">
      <c r="D9098" s="102"/>
    </row>
    <row r="9099" spans="4:4" x14ac:dyDescent="0.25">
      <c r="D9099" s="102"/>
    </row>
    <row r="9100" spans="4:4" x14ac:dyDescent="0.25">
      <c r="D9100" s="102"/>
    </row>
    <row r="9101" spans="4:4" x14ac:dyDescent="0.25">
      <c r="D9101" s="102"/>
    </row>
    <row r="9102" spans="4:4" x14ac:dyDescent="0.25">
      <c r="D9102" s="102"/>
    </row>
    <row r="9103" spans="4:4" x14ac:dyDescent="0.25">
      <c r="D9103" s="102"/>
    </row>
    <row r="9104" spans="4:4" x14ac:dyDescent="0.25">
      <c r="D9104" s="102"/>
    </row>
    <row r="9105" spans="4:4" x14ac:dyDescent="0.25">
      <c r="D9105" s="102"/>
    </row>
    <row r="9106" spans="4:4" x14ac:dyDescent="0.25">
      <c r="D9106" s="102"/>
    </row>
    <row r="9107" spans="4:4" x14ac:dyDescent="0.25">
      <c r="D9107" s="102"/>
    </row>
    <row r="9108" spans="4:4" x14ac:dyDescent="0.25">
      <c r="D9108" s="102"/>
    </row>
    <row r="9109" spans="4:4" x14ac:dyDescent="0.25">
      <c r="D9109" s="102"/>
    </row>
    <row r="9110" spans="4:4" x14ac:dyDescent="0.25">
      <c r="D9110" s="102"/>
    </row>
    <row r="9111" spans="4:4" x14ac:dyDescent="0.25">
      <c r="D9111" s="102"/>
    </row>
    <row r="9112" spans="4:4" x14ac:dyDescent="0.25">
      <c r="D9112" s="102"/>
    </row>
    <row r="9113" spans="4:4" x14ac:dyDescent="0.25">
      <c r="D9113" s="102"/>
    </row>
    <row r="9114" spans="4:4" x14ac:dyDescent="0.25">
      <c r="D9114" s="102"/>
    </row>
    <row r="9115" spans="4:4" x14ac:dyDescent="0.25">
      <c r="D9115" s="102"/>
    </row>
    <row r="9116" spans="4:4" x14ac:dyDescent="0.25">
      <c r="D9116" s="102"/>
    </row>
    <row r="9117" spans="4:4" x14ac:dyDescent="0.25">
      <c r="D9117" s="102"/>
    </row>
    <row r="9118" spans="4:4" x14ac:dyDescent="0.25">
      <c r="D9118" s="102"/>
    </row>
    <row r="9119" spans="4:4" x14ac:dyDescent="0.25">
      <c r="D9119" s="102"/>
    </row>
    <row r="9120" spans="4:4" x14ac:dyDescent="0.25">
      <c r="D9120" s="102"/>
    </row>
    <row r="9121" spans="4:4" x14ac:dyDescent="0.25">
      <c r="D9121" s="102"/>
    </row>
    <row r="9122" spans="4:4" x14ac:dyDescent="0.25">
      <c r="D9122" s="102"/>
    </row>
    <row r="9123" spans="4:4" x14ac:dyDescent="0.25">
      <c r="D9123" s="102"/>
    </row>
    <row r="9124" spans="4:4" x14ac:dyDescent="0.25">
      <c r="D9124" s="102"/>
    </row>
    <row r="9125" spans="4:4" x14ac:dyDescent="0.25">
      <c r="D9125" s="102"/>
    </row>
    <row r="9126" spans="4:4" x14ac:dyDescent="0.25">
      <c r="D9126" s="102"/>
    </row>
    <row r="9127" spans="4:4" x14ac:dyDescent="0.25">
      <c r="D9127" s="102"/>
    </row>
    <row r="9128" spans="4:4" x14ac:dyDescent="0.25">
      <c r="D9128" s="102"/>
    </row>
    <row r="9129" spans="4:4" x14ac:dyDescent="0.25">
      <c r="D9129" s="102"/>
    </row>
    <row r="9130" spans="4:4" x14ac:dyDescent="0.25">
      <c r="D9130" s="102"/>
    </row>
    <row r="9131" spans="4:4" x14ac:dyDescent="0.25">
      <c r="D9131" s="102"/>
    </row>
    <row r="9132" spans="4:4" x14ac:dyDescent="0.25">
      <c r="D9132" s="102"/>
    </row>
    <row r="9133" spans="4:4" x14ac:dyDescent="0.25">
      <c r="D9133" s="102"/>
    </row>
    <row r="9134" spans="4:4" x14ac:dyDescent="0.25">
      <c r="D9134" s="102"/>
    </row>
    <row r="9135" spans="4:4" x14ac:dyDescent="0.25">
      <c r="D9135" s="102"/>
    </row>
    <row r="9136" spans="4:4" x14ac:dyDescent="0.25">
      <c r="D9136" s="102"/>
    </row>
    <row r="9137" spans="4:4" x14ac:dyDescent="0.25">
      <c r="D9137" s="102"/>
    </row>
    <row r="9138" spans="4:4" x14ac:dyDescent="0.25">
      <c r="D9138" s="102"/>
    </row>
    <row r="9139" spans="4:4" x14ac:dyDescent="0.25">
      <c r="D9139" s="102"/>
    </row>
    <row r="9140" spans="4:4" x14ac:dyDescent="0.25">
      <c r="D9140" s="102"/>
    </row>
    <row r="9141" spans="4:4" x14ac:dyDescent="0.25">
      <c r="D9141" s="102"/>
    </row>
    <row r="9142" spans="4:4" x14ac:dyDescent="0.25">
      <c r="D9142" s="102"/>
    </row>
    <row r="9143" spans="4:4" x14ac:dyDescent="0.25">
      <c r="D9143" s="102"/>
    </row>
    <row r="9144" spans="4:4" x14ac:dyDescent="0.25">
      <c r="D9144" s="102"/>
    </row>
    <row r="9145" spans="4:4" x14ac:dyDescent="0.25">
      <c r="D9145" s="102"/>
    </row>
    <row r="9146" spans="4:4" x14ac:dyDescent="0.25">
      <c r="D9146" s="102"/>
    </row>
    <row r="9147" spans="4:4" x14ac:dyDescent="0.25">
      <c r="D9147" s="102"/>
    </row>
    <row r="9148" spans="4:4" x14ac:dyDescent="0.25">
      <c r="D9148" s="102"/>
    </row>
    <row r="9149" spans="4:4" x14ac:dyDescent="0.25">
      <c r="D9149" s="102"/>
    </row>
    <row r="9150" spans="4:4" x14ac:dyDescent="0.25">
      <c r="D9150" s="102"/>
    </row>
    <row r="9151" spans="4:4" x14ac:dyDescent="0.25">
      <c r="D9151" s="102"/>
    </row>
    <row r="9152" spans="4:4" x14ac:dyDescent="0.25">
      <c r="D9152" s="102"/>
    </row>
    <row r="9153" spans="4:4" x14ac:dyDescent="0.25">
      <c r="D9153" s="102"/>
    </row>
    <row r="9154" spans="4:4" x14ac:dyDescent="0.25">
      <c r="D9154" s="102"/>
    </row>
    <row r="9155" spans="4:4" x14ac:dyDescent="0.25">
      <c r="D9155" s="102"/>
    </row>
    <row r="9156" spans="4:4" x14ac:dyDescent="0.25">
      <c r="D9156" s="102"/>
    </row>
    <row r="9157" spans="4:4" x14ac:dyDescent="0.25">
      <c r="D9157" s="102"/>
    </row>
    <row r="9158" spans="4:4" x14ac:dyDescent="0.25">
      <c r="D9158" s="102"/>
    </row>
    <row r="9159" spans="4:4" x14ac:dyDescent="0.25">
      <c r="D9159" s="102"/>
    </row>
    <row r="9160" spans="4:4" x14ac:dyDescent="0.25">
      <c r="D9160" s="102"/>
    </row>
    <row r="9161" spans="4:4" x14ac:dyDescent="0.25">
      <c r="D9161" s="102"/>
    </row>
    <row r="9162" spans="4:4" x14ac:dyDescent="0.25">
      <c r="D9162" s="102"/>
    </row>
    <row r="9163" spans="4:4" x14ac:dyDescent="0.25">
      <c r="D9163" s="102"/>
    </row>
    <row r="9164" spans="4:4" x14ac:dyDescent="0.25">
      <c r="D9164" s="102"/>
    </row>
    <row r="9165" spans="4:4" x14ac:dyDescent="0.25">
      <c r="D9165" s="102"/>
    </row>
    <row r="9166" spans="4:4" x14ac:dyDescent="0.25">
      <c r="D9166" s="102"/>
    </row>
    <row r="9167" spans="4:4" x14ac:dyDescent="0.25">
      <c r="D9167" s="102"/>
    </row>
    <row r="9168" spans="4:4" x14ac:dyDescent="0.25">
      <c r="D9168" s="102"/>
    </row>
    <row r="9169" spans="4:4" x14ac:dyDescent="0.25">
      <c r="D9169" s="102"/>
    </row>
    <row r="9170" spans="4:4" x14ac:dyDescent="0.25">
      <c r="D9170" s="102"/>
    </row>
    <row r="9171" spans="4:4" x14ac:dyDescent="0.25">
      <c r="D9171" s="102"/>
    </row>
    <row r="9172" spans="4:4" x14ac:dyDescent="0.25">
      <c r="D9172" s="102"/>
    </row>
    <row r="9173" spans="4:4" x14ac:dyDescent="0.25">
      <c r="D9173" s="102"/>
    </row>
    <row r="9174" spans="4:4" x14ac:dyDescent="0.25">
      <c r="D9174" s="102"/>
    </row>
    <row r="9175" spans="4:4" x14ac:dyDescent="0.25">
      <c r="D9175" s="102"/>
    </row>
    <row r="9176" spans="4:4" x14ac:dyDescent="0.25">
      <c r="D9176" s="102"/>
    </row>
    <row r="9177" spans="4:4" x14ac:dyDescent="0.25">
      <c r="D9177" s="102"/>
    </row>
    <row r="9178" spans="4:4" x14ac:dyDescent="0.25">
      <c r="D9178" s="102"/>
    </row>
    <row r="9179" spans="4:4" x14ac:dyDescent="0.25">
      <c r="D9179" s="102"/>
    </row>
    <row r="9180" spans="4:4" x14ac:dyDescent="0.25">
      <c r="D9180" s="102"/>
    </row>
    <row r="9181" spans="4:4" x14ac:dyDescent="0.25">
      <c r="D9181" s="102"/>
    </row>
    <row r="9182" spans="4:4" x14ac:dyDescent="0.25">
      <c r="D9182" s="102"/>
    </row>
    <row r="9183" spans="4:4" x14ac:dyDescent="0.25">
      <c r="D9183" s="102"/>
    </row>
    <row r="9184" spans="4:4" x14ac:dyDescent="0.25">
      <c r="D9184" s="102"/>
    </row>
    <row r="9185" spans="4:4" x14ac:dyDescent="0.25">
      <c r="D9185" s="102"/>
    </row>
    <row r="9186" spans="4:4" x14ac:dyDescent="0.25">
      <c r="D9186" s="102"/>
    </row>
    <row r="9187" spans="4:4" x14ac:dyDescent="0.25">
      <c r="D9187" s="102"/>
    </row>
    <row r="9188" spans="4:4" x14ac:dyDescent="0.25">
      <c r="D9188" s="102"/>
    </row>
    <row r="9189" spans="4:4" x14ac:dyDescent="0.25">
      <c r="D9189" s="102"/>
    </row>
    <row r="9190" spans="4:4" x14ac:dyDescent="0.25">
      <c r="D9190" s="102"/>
    </row>
    <row r="9191" spans="4:4" x14ac:dyDescent="0.25">
      <c r="D9191" s="102"/>
    </row>
    <row r="9192" spans="4:4" x14ac:dyDescent="0.25">
      <c r="D9192" s="102"/>
    </row>
    <row r="9193" spans="4:4" x14ac:dyDescent="0.25">
      <c r="D9193" s="102"/>
    </row>
    <row r="9194" spans="4:4" x14ac:dyDescent="0.25">
      <c r="D9194" s="102"/>
    </row>
    <row r="9195" spans="4:4" x14ac:dyDescent="0.25">
      <c r="D9195" s="102"/>
    </row>
    <row r="9196" spans="4:4" x14ac:dyDescent="0.25">
      <c r="D9196" s="102"/>
    </row>
    <row r="9197" spans="4:4" x14ac:dyDescent="0.25">
      <c r="D9197" s="102"/>
    </row>
    <row r="9198" spans="4:4" x14ac:dyDescent="0.25">
      <c r="D9198" s="102"/>
    </row>
    <row r="9199" spans="4:4" x14ac:dyDescent="0.25">
      <c r="D9199" s="102"/>
    </row>
    <row r="9200" spans="4:4" x14ac:dyDescent="0.25">
      <c r="D9200" s="102"/>
    </row>
    <row r="9201" spans="4:4" x14ac:dyDescent="0.25">
      <c r="D9201" s="102"/>
    </row>
    <row r="9202" spans="4:4" x14ac:dyDescent="0.25">
      <c r="D9202" s="102"/>
    </row>
    <row r="9203" spans="4:4" x14ac:dyDescent="0.25">
      <c r="D9203" s="102"/>
    </row>
    <row r="9204" spans="4:4" x14ac:dyDescent="0.25">
      <c r="D9204" s="102"/>
    </row>
    <row r="9205" spans="4:4" x14ac:dyDescent="0.25">
      <c r="D9205" s="102"/>
    </row>
    <row r="9206" spans="4:4" x14ac:dyDescent="0.25">
      <c r="D9206" s="102"/>
    </row>
    <row r="9207" spans="4:4" x14ac:dyDescent="0.25">
      <c r="D9207" s="102"/>
    </row>
    <row r="9208" spans="4:4" x14ac:dyDescent="0.25">
      <c r="D9208" s="102"/>
    </row>
    <row r="9209" spans="4:4" x14ac:dyDescent="0.25">
      <c r="D9209" s="102"/>
    </row>
    <row r="9210" spans="4:4" x14ac:dyDescent="0.25">
      <c r="D9210" s="102"/>
    </row>
    <row r="9211" spans="4:4" x14ac:dyDescent="0.25">
      <c r="D9211" s="102"/>
    </row>
    <row r="9212" spans="4:4" x14ac:dyDescent="0.25">
      <c r="D9212" s="102"/>
    </row>
    <row r="9213" spans="4:4" x14ac:dyDescent="0.25">
      <c r="D9213" s="102"/>
    </row>
    <row r="9214" spans="4:4" x14ac:dyDescent="0.25">
      <c r="D9214" s="102"/>
    </row>
    <row r="9215" spans="4:4" x14ac:dyDescent="0.25">
      <c r="D9215" s="102"/>
    </row>
    <row r="9216" spans="4:4" x14ac:dyDescent="0.25">
      <c r="D9216" s="102"/>
    </row>
    <row r="9217" spans="4:4" x14ac:dyDescent="0.25">
      <c r="D9217" s="102"/>
    </row>
    <row r="9218" spans="4:4" x14ac:dyDescent="0.25">
      <c r="D9218" s="102"/>
    </row>
    <row r="9219" spans="4:4" x14ac:dyDescent="0.25">
      <c r="D9219" s="102"/>
    </row>
    <row r="9220" spans="4:4" x14ac:dyDescent="0.25">
      <c r="D9220" s="102"/>
    </row>
    <row r="9221" spans="4:4" x14ac:dyDescent="0.25">
      <c r="D9221" s="102"/>
    </row>
    <row r="9222" spans="4:4" x14ac:dyDescent="0.25">
      <c r="D9222" s="102"/>
    </row>
    <row r="9223" spans="4:4" x14ac:dyDescent="0.25">
      <c r="D9223" s="102"/>
    </row>
    <row r="9224" spans="4:4" x14ac:dyDescent="0.25">
      <c r="D9224" s="102"/>
    </row>
    <row r="9225" spans="4:4" x14ac:dyDescent="0.25">
      <c r="D9225" s="102"/>
    </row>
    <row r="9226" spans="4:4" x14ac:dyDescent="0.25">
      <c r="D9226" s="102"/>
    </row>
    <row r="9227" spans="4:4" x14ac:dyDescent="0.25">
      <c r="D9227" s="102"/>
    </row>
    <row r="9228" spans="4:4" x14ac:dyDescent="0.25">
      <c r="D9228" s="102"/>
    </row>
    <row r="9229" spans="4:4" x14ac:dyDescent="0.25">
      <c r="D9229" s="102"/>
    </row>
    <row r="9230" spans="4:4" x14ac:dyDescent="0.25">
      <c r="D9230" s="102"/>
    </row>
    <row r="9231" spans="4:4" x14ac:dyDescent="0.25">
      <c r="D9231" s="102"/>
    </row>
    <row r="9232" spans="4:4" x14ac:dyDescent="0.25">
      <c r="D9232" s="102"/>
    </row>
    <row r="9233" spans="4:4" x14ac:dyDescent="0.25">
      <c r="D9233" s="102"/>
    </row>
    <row r="9234" spans="4:4" x14ac:dyDescent="0.25">
      <c r="D9234" s="102"/>
    </row>
    <row r="9235" spans="4:4" x14ac:dyDescent="0.25">
      <c r="D9235" s="102"/>
    </row>
    <row r="9236" spans="4:4" x14ac:dyDescent="0.25">
      <c r="D9236" s="102"/>
    </row>
    <row r="9237" spans="4:4" x14ac:dyDescent="0.25">
      <c r="D9237" s="102"/>
    </row>
    <row r="9238" spans="4:4" x14ac:dyDescent="0.25">
      <c r="D9238" s="102"/>
    </row>
    <row r="9239" spans="4:4" x14ac:dyDescent="0.25">
      <c r="D9239" s="102"/>
    </row>
    <row r="9240" spans="4:4" x14ac:dyDescent="0.25">
      <c r="D9240" s="102"/>
    </row>
    <row r="9241" spans="4:4" x14ac:dyDescent="0.25">
      <c r="D9241" s="102"/>
    </row>
    <row r="9242" spans="4:4" x14ac:dyDescent="0.25">
      <c r="D9242" s="102"/>
    </row>
    <row r="9243" spans="4:4" x14ac:dyDescent="0.25">
      <c r="D9243" s="102"/>
    </row>
    <row r="9244" spans="4:4" x14ac:dyDescent="0.25">
      <c r="D9244" s="102"/>
    </row>
    <row r="9245" spans="4:4" x14ac:dyDescent="0.25">
      <c r="D9245" s="102"/>
    </row>
    <row r="9246" spans="4:4" x14ac:dyDescent="0.25">
      <c r="D9246" s="102"/>
    </row>
    <row r="9247" spans="4:4" x14ac:dyDescent="0.25">
      <c r="D9247" s="102"/>
    </row>
    <row r="9248" spans="4:4" x14ac:dyDescent="0.25">
      <c r="D9248" s="102"/>
    </row>
    <row r="9249" spans="4:4" x14ac:dyDescent="0.25">
      <c r="D9249" s="102"/>
    </row>
    <row r="9250" spans="4:4" x14ac:dyDescent="0.25">
      <c r="D9250" s="102"/>
    </row>
    <row r="9251" spans="4:4" x14ac:dyDescent="0.25">
      <c r="D9251" s="102"/>
    </row>
    <row r="9252" spans="4:4" x14ac:dyDescent="0.25">
      <c r="D9252" s="102"/>
    </row>
    <row r="9253" spans="4:4" x14ac:dyDescent="0.25">
      <c r="D9253" s="102"/>
    </row>
    <row r="9254" spans="4:4" x14ac:dyDescent="0.25">
      <c r="D9254" s="102"/>
    </row>
    <row r="9255" spans="4:4" x14ac:dyDescent="0.25">
      <c r="D9255" s="102"/>
    </row>
    <row r="9256" spans="4:4" x14ac:dyDescent="0.25">
      <c r="D9256" s="102"/>
    </row>
    <row r="9257" spans="4:4" x14ac:dyDescent="0.25">
      <c r="D9257" s="102"/>
    </row>
    <row r="9258" spans="4:4" x14ac:dyDescent="0.25">
      <c r="D9258" s="102"/>
    </row>
    <row r="9259" spans="4:4" x14ac:dyDescent="0.25">
      <c r="D9259" s="102"/>
    </row>
    <row r="9260" spans="4:4" x14ac:dyDescent="0.25">
      <c r="D9260" s="102"/>
    </row>
    <row r="9261" spans="4:4" x14ac:dyDescent="0.25">
      <c r="D9261" s="102"/>
    </row>
    <row r="9262" spans="4:4" x14ac:dyDescent="0.25">
      <c r="D9262" s="102"/>
    </row>
    <row r="9263" spans="4:4" x14ac:dyDescent="0.25">
      <c r="D9263" s="102"/>
    </row>
    <row r="9264" spans="4:4" x14ac:dyDescent="0.25">
      <c r="D9264" s="102"/>
    </row>
    <row r="9265" spans="4:4" x14ac:dyDescent="0.25">
      <c r="D9265" s="102"/>
    </row>
    <row r="9266" spans="4:4" x14ac:dyDescent="0.25">
      <c r="D9266" s="102"/>
    </row>
    <row r="9267" spans="4:4" x14ac:dyDescent="0.25">
      <c r="D9267" s="102"/>
    </row>
    <row r="9268" spans="4:4" x14ac:dyDescent="0.25">
      <c r="D9268" s="102"/>
    </row>
    <row r="9269" spans="4:4" x14ac:dyDescent="0.25">
      <c r="D9269" s="102"/>
    </row>
    <row r="9270" spans="4:4" x14ac:dyDescent="0.25">
      <c r="D9270" s="102"/>
    </row>
    <row r="9271" spans="4:4" x14ac:dyDescent="0.25">
      <c r="D9271" s="102"/>
    </row>
    <row r="9272" spans="4:4" x14ac:dyDescent="0.25">
      <c r="D9272" s="102"/>
    </row>
    <row r="9273" spans="4:4" x14ac:dyDescent="0.25">
      <c r="D9273" s="102"/>
    </row>
    <row r="9274" spans="4:4" x14ac:dyDescent="0.25">
      <c r="D9274" s="102"/>
    </row>
    <row r="9275" spans="4:4" x14ac:dyDescent="0.25">
      <c r="D9275" s="102"/>
    </row>
    <row r="9276" spans="4:4" x14ac:dyDescent="0.25">
      <c r="D9276" s="102"/>
    </row>
    <row r="9277" spans="4:4" x14ac:dyDescent="0.25">
      <c r="D9277" s="102"/>
    </row>
    <row r="9278" spans="4:4" x14ac:dyDescent="0.25">
      <c r="D9278" s="102"/>
    </row>
    <row r="9279" spans="4:4" x14ac:dyDescent="0.25">
      <c r="D9279" s="102"/>
    </row>
    <row r="9280" spans="4:4" x14ac:dyDescent="0.25">
      <c r="D9280" s="102"/>
    </row>
    <row r="9281" spans="4:4" x14ac:dyDescent="0.25">
      <c r="D9281" s="102"/>
    </row>
    <row r="9282" spans="4:4" x14ac:dyDescent="0.25">
      <c r="D9282" s="102"/>
    </row>
    <row r="9283" spans="4:4" x14ac:dyDescent="0.25">
      <c r="D9283" s="102"/>
    </row>
    <row r="9284" spans="4:4" x14ac:dyDescent="0.25">
      <c r="D9284" s="102"/>
    </row>
    <row r="9285" spans="4:4" x14ac:dyDescent="0.25">
      <c r="D9285" s="102"/>
    </row>
    <row r="9286" spans="4:4" x14ac:dyDescent="0.25">
      <c r="D9286" s="102"/>
    </row>
    <row r="9287" spans="4:4" x14ac:dyDescent="0.25">
      <c r="D9287" s="102"/>
    </row>
    <row r="9288" spans="4:4" x14ac:dyDescent="0.25">
      <c r="D9288" s="102"/>
    </row>
    <row r="9289" spans="4:4" x14ac:dyDescent="0.25">
      <c r="D9289" s="102"/>
    </row>
    <row r="9290" spans="4:4" x14ac:dyDescent="0.25">
      <c r="D9290" s="102"/>
    </row>
    <row r="9291" spans="4:4" x14ac:dyDescent="0.25">
      <c r="D9291" s="102"/>
    </row>
    <row r="9292" spans="4:4" x14ac:dyDescent="0.25">
      <c r="D9292" s="102"/>
    </row>
    <row r="9293" spans="4:4" x14ac:dyDescent="0.25">
      <c r="D9293" s="102"/>
    </row>
    <row r="9294" spans="4:4" x14ac:dyDescent="0.25">
      <c r="D9294" s="102"/>
    </row>
    <row r="9295" spans="4:4" x14ac:dyDescent="0.25">
      <c r="D9295" s="102"/>
    </row>
    <row r="9296" spans="4:4" x14ac:dyDescent="0.25">
      <c r="D9296" s="102"/>
    </row>
    <row r="9297" spans="4:4" x14ac:dyDescent="0.25">
      <c r="D9297" s="102"/>
    </row>
    <row r="9298" spans="4:4" x14ac:dyDescent="0.25">
      <c r="D9298" s="102"/>
    </row>
    <row r="9299" spans="4:4" x14ac:dyDescent="0.25">
      <c r="D9299" s="102"/>
    </row>
    <row r="9300" spans="4:4" x14ac:dyDescent="0.25">
      <c r="D9300" s="102"/>
    </row>
    <row r="9301" spans="4:4" x14ac:dyDescent="0.25">
      <c r="D9301" s="102"/>
    </row>
    <row r="9302" spans="4:4" x14ac:dyDescent="0.25">
      <c r="D9302" s="102"/>
    </row>
    <row r="9303" spans="4:4" x14ac:dyDescent="0.25">
      <c r="D9303" s="102"/>
    </row>
    <row r="9304" spans="4:4" x14ac:dyDescent="0.25">
      <c r="D9304" s="102"/>
    </row>
    <row r="9305" spans="4:4" x14ac:dyDescent="0.25">
      <c r="D9305" s="102"/>
    </row>
    <row r="9306" spans="4:4" x14ac:dyDescent="0.25">
      <c r="D9306" s="102"/>
    </row>
    <row r="9307" spans="4:4" x14ac:dyDescent="0.25">
      <c r="D9307" s="102"/>
    </row>
    <row r="9308" spans="4:4" x14ac:dyDescent="0.25">
      <c r="D9308" s="102"/>
    </row>
    <row r="9309" spans="4:4" x14ac:dyDescent="0.25">
      <c r="D9309" s="102"/>
    </row>
    <row r="9310" spans="4:4" x14ac:dyDescent="0.25">
      <c r="D9310" s="102"/>
    </row>
    <row r="9311" spans="4:4" x14ac:dyDescent="0.25">
      <c r="D9311" s="102"/>
    </row>
    <row r="9312" spans="4:4" x14ac:dyDescent="0.25">
      <c r="D9312" s="102"/>
    </row>
    <row r="9313" spans="4:4" x14ac:dyDescent="0.25">
      <c r="D9313" s="102"/>
    </row>
    <row r="9314" spans="4:4" x14ac:dyDescent="0.25">
      <c r="D9314" s="102"/>
    </row>
    <row r="9315" spans="4:4" x14ac:dyDescent="0.25">
      <c r="D9315" s="102"/>
    </row>
    <row r="9316" spans="4:4" x14ac:dyDescent="0.25">
      <c r="D9316" s="102"/>
    </row>
    <row r="9317" spans="4:4" x14ac:dyDescent="0.25">
      <c r="D9317" s="102"/>
    </row>
    <row r="9318" spans="4:4" x14ac:dyDescent="0.25">
      <c r="D9318" s="102"/>
    </row>
    <row r="9319" spans="4:4" x14ac:dyDescent="0.25">
      <c r="D9319" s="102"/>
    </row>
    <row r="9320" spans="4:4" x14ac:dyDescent="0.25">
      <c r="D9320" s="102"/>
    </row>
    <row r="9321" spans="4:4" x14ac:dyDescent="0.25">
      <c r="D9321" s="102"/>
    </row>
    <row r="9322" spans="4:4" x14ac:dyDescent="0.25">
      <c r="D9322" s="102"/>
    </row>
    <row r="9323" spans="4:4" x14ac:dyDescent="0.25">
      <c r="D9323" s="102"/>
    </row>
    <row r="9324" spans="4:4" x14ac:dyDescent="0.25">
      <c r="D9324" s="102"/>
    </row>
    <row r="9325" spans="4:4" x14ac:dyDescent="0.25">
      <c r="D9325" s="102"/>
    </row>
    <row r="9326" spans="4:4" x14ac:dyDescent="0.25">
      <c r="D9326" s="102"/>
    </row>
    <row r="9327" spans="4:4" x14ac:dyDescent="0.25">
      <c r="D9327" s="102"/>
    </row>
    <row r="9328" spans="4:4" x14ac:dyDescent="0.25">
      <c r="D9328" s="102"/>
    </row>
    <row r="9329" spans="4:4" x14ac:dyDescent="0.25">
      <c r="D9329" s="102"/>
    </row>
    <row r="9330" spans="4:4" x14ac:dyDescent="0.25">
      <c r="D9330" s="102"/>
    </row>
    <row r="9331" spans="4:4" x14ac:dyDescent="0.25">
      <c r="D9331" s="102"/>
    </row>
    <row r="9332" spans="4:4" x14ac:dyDescent="0.25">
      <c r="D9332" s="102"/>
    </row>
    <row r="9333" spans="4:4" x14ac:dyDescent="0.25">
      <c r="D9333" s="102"/>
    </row>
    <row r="9334" spans="4:4" x14ac:dyDescent="0.25">
      <c r="D9334" s="102"/>
    </row>
    <row r="9335" spans="4:4" x14ac:dyDescent="0.25">
      <c r="D9335" s="102"/>
    </row>
    <row r="9336" spans="4:4" x14ac:dyDescent="0.25">
      <c r="D9336" s="102"/>
    </row>
    <row r="9337" spans="4:4" x14ac:dyDescent="0.25">
      <c r="D9337" s="102"/>
    </row>
    <row r="9338" spans="4:4" x14ac:dyDescent="0.25">
      <c r="D9338" s="102"/>
    </row>
    <row r="9339" spans="4:4" x14ac:dyDescent="0.25">
      <c r="D9339" s="102"/>
    </row>
    <row r="9340" spans="4:4" x14ac:dyDescent="0.25">
      <c r="D9340" s="102"/>
    </row>
    <row r="9341" spans="4:4" x14ac:dyDescent="0.25">
      <c r="D9341" s="102"/>
    </row>
    <row r="9342" spans="4:4" x14ac:dyDescent="0.25">
      <c r="D9342" s="102"/>
    </row>
    <row r="9343" spans="4:4" x14ac:dyDescent="0.25">
      <c r="D9343" s="102"/>
    </row>
    <row r="9344" spans="4:4" x14ac:dyDescent="0.25">
      <c r="D9344" s="102"/>
    </row>
    <row r="9345" spans="4:4" x14ac:dyDescent="0.25">
      <c r="D9345" s="102"/>
    </row>
    <row r="9346" spans="4:4" x14ac:dyDescent="0.25">
      <c r="D9346" s="102"/>
    </row>
    <row r="9347" spans="4:4" x14ac:dyDescent="0.25">
      <c r="D9347" s="102"/>
    </row>
    <row r="9348" spans="4:4" x14ac:dyDescent="0.25">
      <c r="D9348" s="102"/>
    </row>
    <row r="9349" spans="4:4" x14ac:dyDescent="0.25">
      <c r="D9349" s="102"/>
    </row>
    <row r="9350" spans="4:4" x14ac:dyDescent="0.25">
      <c r="D9350" s="102"/>
    </row>
    <row r="9351" spans="4:4" x14ac:dyDescent="0.25">
      <c r="D9351" s="102"/>
    </row>
    <row r="9352" spans="4:4" x14ac:dyDescent="0.25">
      <c r="D9352" s="102"/>
    </row>
    <row r="9353" spans="4:4" x14ac:dyDescent="0.25">
      <c r="D9353" s="102"/>
    </row>
    <row r="9354" spans="4:4" x14ac:dyDescent="0.25">
      <c r="D9354" s="102"/>
    </row>
    <row r="9355" spans="4:4" x14ac:dyDescent="0.25">
      <c r="D9355" s="102"/>
    </row>
    <row r="9356" spans="4:4" x14ac:dyDescent="0.25">
      <c r="D9356" s="102"/>
    </row>
    <row r="9357" spans="4:4" x14ac:dyDescent="0.25">
      <c r="D9357" s="102"/>
    </row>
    <row r="9358" spans="4:4" x14ac:dyDescent="0.25">
      <c r="D9358" s="102"/>
    </row>
    <row r="9359" spans="4:4" x14ac:dyDescent="0.25">
      <c r="D9359" s="102"/>
    </row>
    <row r="9360" spans="4:4" x14ac:dyDescent="0.25">
      <c r="D9360" s="102"/>
    </row>
    <row r="9361" spans="4:4" x14ac:dyDescent="0.25">
      <c r="D9361" s="102"/>
    </row>
    <row r="9362" spans="4:4" x14ac:dyDescent="0.25">
      <c r="D9362" s="102"/>
    </row>
    <row r="9363" spans="4:4" x14ac:dyDescent="0.25">
      <c r="D9363" s="102"/>
    </row>
    <row r="9364" spans="4:4" x14ac:dyDescent="0.25">
      <c r="D9364" s="102"/>
    </row>
    <row r="9365" spans="4:4" x14ac:dyDescent="0.25">
      <c r="D9365" s="102"/>
    </row>
    <row r="9366" spans="4:4" x14ac:dyDescent="0.25">
      <c r="D9366" s="102"/>
    </row>
    <row r="9367" spans="4:4" x14ac:dyDescent="0.25">
      <c r="D9367" s="102"/>
    </row>
    <row r="9368" spans="4:4" x14ac:dyDescent="0.25">
      <c r="D9368" s="102"/>
    </row>
    <row r="9369" spans="4:4" x14ac:dyDescent="0.25">
      <c r="D9369" s="102"/>
    </row>
    <row r="9370" spans="4:4" x14ac:dyDescent="0.25">
      <c r="D9370" s="102"/>
    </row>
    <row r="9371" spans="4:4" x14ac:dyDescent="0.25">
      <c r="D9371" s="102"/>
    </row>
    <row r="9372" spans="4:4" x14ac:dyDescent="0.25">
      <c r="D9372" s="102"/>
    </row>
    <row r="9373" spans="4:4" x14ac:dyDescent="0.25">
      <c r="D9373" s="102"/>
    </row>
    <row r="9374" spans="4:4" x14ac:dyDescent="0.25">
      <c r="D9374" s="102"/>
    </row>
    <row r="9375" spans="4:4" x14ac:dyDescent="0.25">
      <c r="D9375" s="102"/>
    </row>
    <row r="9376" spans="4:4" x14ac:dyDescent="0.25">
      <c r="D9376" s="102"/>
    </row>
    <row r="9377" spans="4:4" x14ac:dyDescent="0.25">
      <c r="D9377" s="102"/>
    </row>
    <row r="9378" spans="4:4" x14ac:dyDescent="0.25">
      <c r="D9378" s="102"/>
    </row>
    <row r="9379" spans="4:4" x14ac:dyDescent="0.25">
      <c r="D9379" s="102"/>
    </row>
    <row r="9380" spans="4:4" x14ac:dyDescent="0.25">
      <c r="D9380" s="102"/>
    </row>
    <row r="9381" spans="4:4" x14ac:dyDescent="0.25">
      <c r="D9381" s="102"/>
    </row>
    <row r="9382" spans="4:4" x14ac:dyDescent="0.25">
      <c r="D9382" s="102"/>
    </row>
    <row r="9383" spans="4:4" x14ac:dyDescent="0.25">
      <c r="D9383" s="102"/>
    </row>
    <row r="9384" spans="4:4" x14ac:dyDescent="0.25">
      <c r="D9384" s="102"/>
    </row>
    <row r="9385" spans="4:4" x14ac:dyDescent="0.25">
      <c r="D9385" s="102"/>
    </row>
    <row r="9386" spans="4:4" x14ac:dyDescent="0.25">
      <c r="D9386" s="102"/>
    </row>
    <row r="9387" spans="4:4" x14ac:dyDescent="0.25">
      <c r="D9387" s="102"/>
    </row>
    <row r="9388" spans="4:4" x14ac:dyDescent="0.25">
      <c r="D9388" s="102"/>
    </row>
    <row r="9389" spans="4:4" x14ac:dyDescent="0.25">
      <c r="D9389" s="102"/>
    </row>
    <row r="9390" spans="4:4" x14ac:dyDescent="0.25">
      <c r="D9390" s="102"/>
    </row>
    <row r="9391" spans="4:4" x14ac:dyDescent="0.25">
      <c r="D9391" s="102"/>
    </row>
    <row r="9392" spans="4:4" x14ac:dyDescent="0.25">
      <c r="D9392" s="102"/>
    </row>
    <row r="9393" spans="4:4" x14ac:dyDescent="0.25">
      <c r="D9393" s="102"/>
    </row>
    <row r="9394" spans="4:4" x14ac:dyDescent="0.25">
      <c r="D9394" s="102"/>
    </row>
    <row r="9395" spans="4:4" x14ac:dyDescent="0.25">
      <c r="D9395" s="102"/>
    </row>
    <row r="9396" spans="4:4" x14ac:dyDescent="0.25">
      <c r="D9396" s="102"/>
    </row>
    <row r="9397" spans="4:4" x14ac:dyDescent="0.25">
      <c r="D9397" s="102"/>
    </row>
    <row r="9398" spans="4:4" x14ac:dyDescent="0.25">
      <c r="D9398" s="102"/>
    </row>
    <row r="9399" spans="4:4" x14ac:dyDescent="0.25">
      <c r="D9399" s="102"/>
    </row>
    <row r="9400" spans="4:4" x14ac:dyDescent="0.25">
      <c r="D9400" s="102"/>
    </row>
    <row r="9401" spans="4:4" x14ac:dyDescent="0.25">
      <c r="D9401" s="102"/>
    </row>
    <row r="9402" spans="4:4" x14ac:dyDescent="0.25">
      <c r="D9402" s="102"/>
    </row>
    <row r="9403" spans="4:4" x14ac:dyDescent="0.25">
      <c r="D9403" s="102"/>
    </row>
    <row r="9404" spans="4:4" x14ac:dyDescent="0.25">
      <c r="D9404" s="102"/>
    </row>
    <row r="9405" spans="4:4" x14ac:dyDescent="0.25">
      <c r="D9405" s="102"/>
    </row>
    <row r="9406" spans="4:4" x14ac:dyDescent="0.25">
      <c r="D9406" s="102"/>
    </row>
    <row r="9407" spans="4:4" x14ac:dyDescent="0.25">
      <c r="D9407" s="102"/>
    </row>
    <row r="9408" spans="4:4" x14ac:dyDescent="0.25">
      <c r="D9408" s="102"/>
    </row>
    <row r="9409" spans="4:4" x14ac:dyDescent="0.25">
      <c r="D9409" s="102"/>
    </row>
    <row r="9410" spans="4:4" x14ac:dyDescent="0.25">
      <c r="D9410" s="102"/>
    </row>
    <row r="9411" spans="4:4" x14ac:dyDescent="0.25">
      <c r="D9411" s="102"/>
    </row>
    <row r="9412" spans="4:4" x14ac:dyDescent="0.25">
      <c r="D9412" s="102"/>
    </row>
    <row r="9413" spans="4:4" x14ac:dyDescent="0.25">
      <c r="D9413" s="102"/>
    </row>
    <row r="9414" spans="4:4" x14ac:dyDescent="0.25">
      <c r="D9414" s="102"/>
    </row>
    <row r="9415" spans="4:4" x14ac:dyDescent="0.25">
      <c r="D9415" s="102"/>
    </row>
    <row r="9416" spans="4:4" x14ac:dyDescent="0.25">
      <c r="D9416" s="102"/>
    </row>
    <row r="9417" spans="4:4" x14ac:dyDescent="0.25">
      <c r="D9417" s="102"/>
    </row>
    <row r="9418" spans="4:4" x14ac:dyDescent="0.25">
      <c r="D9418" s="102"/>
    </row>
    <row r="9419" spans="4:4" x14ac:dyDescent="0.25">
      <c r="D9419" s="102"/>
    </row>
    <row r="9420" spans="4:4" x14ac:dyDescent="0.25">
      <c r="D9420" s="102"/>
    </row>
    <row r="9421" spans="4:4" x14ac:dyDescent="0.25">
      <c r="D9421" s="102"/>
    </row>
    <row r="9422" spans="4:4" x14ac:dyDescent="0.25">
      <c r="D9422" s="102"/>
    </row>
    <row r="9423" spans="4:4" x14ac:dyDescent="0.25">
      <c r="D9423" s="102"/>
    </row>
    <row r="9424" spans="4:4" x14ac:dyDescent="0.25">
      <c r="D9424" s="102"/>
    </row>
    <row r="9425" spans="4:4" x14ac:dyDescent="0.25">
      <c r="D9425" s="102"/>
    </row>
    <row r="9426" spans="4:4" x14ac:dyDescent="0.25">
      <c r="D9426" s="102"/>
    </row>
    <row r="9427" spans="4:4" x14ac:dyDescent="0.25">
      <c r="D9427" s="102"/>
    </row>
    <row r="9428" spans="4:4" x14ac:dyDescent="0.25">
      <c r="D9428" s="102"/>
    </row>
    <row r="9429" spans="4:4" x14ac:dyDescent="0.25">
      <c r="D9429" s="102"/>
    </row>
    <row r="9430" spans="4:4" x14ac:dyDescent="0.25">
      <c r="D9430" s="102"/>
    </row>
    <row r="9431" spans="4:4" x14ac:dyDescent="0.25">
      <c r="D9431" s="102"/>
    </row>
    <row r="9432" spans="4:4" x14ac:dyDescent="0.25">
      <c r="D9432" s="102"/>
    </row>
    <row r="9433" spans="4:4" x14ac:dyDescent="0.25">
      <c r="D9433" s="102"/>
    </row>
    <row r="9434" spans="4:4" x14ac:dyDescent="0.25">
      <c r="D9434" s="102"/>
    </row>
    <row r="9435" spans="4:4" x14ac:dyDescent="0.25">
      <c r="D9435" s="102"/>
    </row>
    <row r="9436" spans="4:4" x14ac:dyDescent="0.25">
      <c r="D9436" s="102"/>
    </row>
    <row r="9437" spans="4:4" x14ac:dyDescent="0.25">
      <c r="D9437" s="102"/>
    </row>
    <row r="9438" spans="4:4" x14ac:dyDescent="0.25">
      <c r="D9438" s="102"/>
    </row>
    <row r="9439" spans="4:4" x14ac:dyDescent="0.25">
      <c r="D9439" s="102"/>
    </row>
    <row r="9440" spans="4:4" x14ac:dyDescent="0.25">
      <c r="D9440" s="102"/>
    </row>
    <row r="9441" spans="4:4" x14ac:dyDescent="0.25">
      <c r="D9441" s="102"/>
    </row>
    <row r="9442" spans="4:4" x14ac:dyDescent="0.25">
      <c r="D9442" s="102"/>
    </row>
    <row r="9443" spans="4:4" x14ac:dyDescent="0.25">
      <c r="D9443" s="102"/>
    </row>
    <row r="9444" spans="4:4" x14ac:dyDescent="0.25">
      <c r="D9444" s="102"/>
    </row>
    <row r="9445" spans="4:4" x14ac:dyDescent="0.25">
      <c r="D9445" s="102"/>
    </row>
    <row r="9446" spans="4:4" x14ac:dyDescent="0.25">
      <c r="D9446" s="102"/>
    </row>
    <row r="9447" spans="4:4" x14ac:dyDescent="0.25">
      <c r="D9447" s="102"/>
    </row>
    <row r="9448" spans="4:4" x14ac:dyDescent="0.25">
      <c r="D9448" s="102"/>
    </row>
    <row r="9449" spans="4:4" x14ac:dyDescent="0.25">
      <c r="D9449" s="102"/>
    </row>
    <row r="9450" spans="4:4" x14ac:dyDescent="0.25">
      <c r="D9450" s="102"/>
    </row>
    <row r="9451" spans="4:4" x14ac:dyDescent="0.25">
      <c r="D9451" s="102"/>
    </row>
    <row r="9452" spans="4:4" x14ac:dyDescent="0.25">
      <c r="D9452" s="102"/>
    </row>
    <row r="9453" spans="4:4" x14ac:dyDescent="0.25">
      <c r="D9453" s="102"/>
    </row>
    <row r="9454" spans="4:4" x14ac:dyDescent="0.25">
      <c r="D9454" s="102"/>
    </row>
    <row r="9455" spans="4:4" x14ac:dyDescent="0.25">
      <c r="D9455" s="102"/>
    </row>
    <row r="9456" spans="4:4" x14ac:dyDescent="0.25">
      <c r="D9456" s="102"/>
    </row>
    <row r="9457" spans="4:4" x14ac:dyDescent="0.25">
      <c r="D9457" s="102"/>
    </row>
    <row r="9458" spans="4:4" x14ac:dyDescent="0.25">
      <c r="D9458" s="102"/>
    </row>
    <row r="9459" spans="4:4" x14ac:dyDescent="0.25">
      <c r="D9459" s="102"/>
    </row>
    <row r="9460" spans="4:4" x14ac:dyDescent="0.25">
      <c r="D9460" s="102"/>
    </row>
    <row r="9461" spans="4:4" x14ac:dyDescent="0.25">
      <c r="D9461" s="102"/>
    </row>
    <row r="9462" spans="4:4" x14ac:dyDescent="0.25">
      <c r="D9462" s="102"/>
    </row>
    <row r="9463" spans="4:4" x14ac:dyDescent="0.25">
      <c r="D9463" s="102"/>
    </row>
    <row r="9464" spans="4:4" x14ac:dyDescent="0.25">
      <c r="D9464" s="102"/>
    </row>
    <row r="9465" spans="4:4" x14ac:dyDescent="0.25">
      <c r="D9465" s="102"/>
    </row>
    <row r="9466" spans="4:4" x14ac:dyDescent="0.25">
      <c r="D9466" s="102"/>
    </row>
    <row r="9467" spans="4:4" x14ac:dyDescent="0.25">
      <c r="D9467" s="102"/>
    </row>
    <row r="9468" spans="4:4" x14ac:dyDescent="0.25">
      <c r="D9468" s="102"/>
    </row>
    <row r="9469" spans="4:4" x14ac:dyDescent="0.25">
      <c r="D9469" s="102"/>
    </row>
    <row r="9470" spans="4:4" x14ac:dyDescent="0.25">
      <c r="D9470" s="102"/>
    </row>
    <row r="9471" spans="4:4" x14ac:dyDescent="0.25">
      <c r="D9471" s="102"/>
    </row>
    <row r="9472" spans="4:4" x14ac:dyDescent="0.25">
      <c r="D9472" s="102"/>
    </row>
    <row r="9473" spans="4:4" x14ac:dyDescent="0.25">
      <c r="D9473" s="102"/>
    </row>
    <row r="9474" spans="4:4" x14ac:dyDescent="0.25">
      <c r="D9474" s="102"/>
    </row>
    <row r="9475" spans="4:4" x14ac:dyDescent="0.25">
      <c r="D9475" s="102"/>
    </row>
    <row r="9476" spans="4:4" x14ac:dyDescent="0.25">
      <c r="D9476" s="102"/>
    </row>
    <row r="9477" spans="4:4" x14ac:dyDescent="0.25">
      <c r="D9477" s="102"/>
    </row>
    <row r="9478" spans="4:4" x14ac:dyDescent="0.25">
      <c r="D9478" s="102"/>
    </row>
    <row r="9479" spans="4:4" x14ac:dyDescent="0.25">
      <c r="D9479" s="102"/>
    </row>
    <row r="9480" spans="4:4" x14ac:dyDescent="0.25">
      <c r="D9480" s="102"/>
    </row>
    <row r="9481" spans="4:4" x14ac:dyDescent="0.25">
      <c r="D9481" s="102"/>
    </row>
    <row r="9482" spans="4:4" x14ac:dyDescent="0.25">
      <c r="D9482" s="102"/>
    </row>
    <row r="9483" spans="4:4" x14ac:dyDescent="0.25">
      <c r="D9483" s="102"/>
    </row>
    <row r="9484" spans="4:4" x14ac:dyDescent="0.25">
      <c r="D9484" s="102"/>
    </row>
    <row r="9485" spans="4:4" x14ac:dyDescent="0.25">
      <c r="D9485" s="102"/>
    </row>
    <row r="9486" spans="4:4" x14ac:dyDescent="0.25">
      <c r="D9486" s="102"/>
    </row>
    <row r="9487" spans="4:4" x14ac:dyDescent="0.25">
      <c r="D9487" s="102"/>
    </row>
    <row r="9488" spans="4:4" x14ac:dyDescent="0.25">
      <c r="D9488" s="102"/>
    </row>
    <row r="9489" spans="4:4" x14ac:dyDescent="0.25">
      <c r="D9489" s="102"/>
    </row>
    <row r="9490" spans="4:4" x14ac:dyDescent="0.25">
      <c r="D9490" s="102"/>
    </row>
    <row r="9491" spans="4:4" x14ac:dyDescent="0.25">
      <c r="D9491" s="102"/>
    </row>
    <row r="9492" spans="4:4" x14ac:dyDescent="0.25">
      <c r="D9492" s="102"/>
    </row>
    <row r="9493" spans="4:4" x14ac:dyDescent="0.25">
      <c r="D9493" s="102"/>
    </row>
    <row r="9494" spans="4:4" x14ac:dyDescent="0.25">
      <c r="D9494" s="102"/>
    </row>
    <row r="9495" spans="4:4" x14ac:dyDescent="0.25">
      <c r="D9495" s="102"/>
    </row>
    <row r="9496" spans="4:4" x14ac:dyDescent="0.25">
      <c r="D9496" s="102"/>
    </row>
    <row r="9497" spans="4:4" x14ac:dyDescent="0.25">
      <c r="D9497" s="102"/>
    </row>
    <row r="9498" spans="4:4" x14ac:dyDescent="0.25">
      <c r="D9498" s="102"/>
    </row>
    <row r="9499" spans="4:4" x14ac:dyDescent="0.25">
      <c r="D9499" s="102"/>
    </row>
    <row r="9500" spans="4:4" x14ac:dyDescent="0.25">
      <c r="D9500" s="102"/>
    </row>
    <row r="9501" spans="4:4" x14ac:dyDescent="0.25">
      <c r="D9501" s="102"/>
    </row>
    <row r="9502" spans="4:4" x14ac:dyDescent="0.25">
      <c r="D9502" s="102"/>
    </row>
    <row r="9503" spans="4:4" x14ac:dyDescent="0.25">
      <c r="D9503" s="102"/>
    </row>
    <row r="9504" spans="4:4" x14ac:dyDescent="0.25">
      <c r="D9504" s="102"/>
    </row>
    <row r="9505" spans="4:4" x14ac:dyDescent="0.25">
      <c r="D9505" s="102"/>
    </row>
    <row r="9506" spans="4:4" x14ac:dyDescent="0.25">
      <c r="D9506" s="102"/>
    </row>
    <row r="9507" spans="4:4" x14ac:dyDescent="0.25">
      <c r="D9507" s="102"/>
    </row>
    <row r="9508" spans="4:4" x14ac:dyDescent="0.25">
      <c r="D9508" s="102"/>
    </row>
    <row r="9509" spans="4:4" x14ac:dyDescent="0.25">
      <c r="D9509" s="102"/>
    </row>
    <row r="9510" spans="4:4" x14ac:dyDescent="0.25">
      <c r="D9510" s="102"/>
    </row>
    <row r="9511" spans="4:4" x14ac:dyDescent="0.25">
      <c r="D9511" s="102"/>
    </row>
    <row r="9512" spans="4:4" x14ac:dyDescent="0.25">
      <c r="D9512" s="102"/>
    </row>
    <row r="9513" spans="4:4" x14ac:dyDescent="0.25">
      <c r="D9513" s="102"/>
    </row>
    <row r="9514" spans="4:4" x14ac:dyDescent="0.25">
      <c r="D9514" s="102"/>
    </row>
    <row r="9515" spans="4:4" x14ac:dyDescent="0.25">
      <c r="D9515" s="102"/>
    </row>
    <row r="9516" spans="4:4" x14ac:dyDescent="0.25">
      <c r="D9516" s="102"/>
    </row>
    <row r="9517" spans="4:4" x14ac:dyDescent="0.25">
      <c r="D9517" s="102"/>
    </row>
    <row r="9518" spans="4:4" x14ac:dyDescent="0.25">
      <c r="D9518" s="102"/>
    </row>
    <row r="9519" spans="4:4" x14ac:dyDescent="0.25">
      <c r="D9519" s="102"/>
    </row>
    <row r="9520" spans="4:4" x14ac:dyDescent="0.25">
      <c r="D9520" s="102"/>
    </row>
    <row r="9521" spans="4:4" x14ac:dyDescent="0.25">
      <c r="D9521" s="102"/>
    </row>
    <row r="9522" spans="4:4" x14ac:dyDescent="0.25">
      <c r="D9522" s="102"/>
    </row>
    <row r="9523" spans="4:4" x14ac:dyDescent="0.25">
      <c r="D9523" s="102"/>
    </row>
    <row r="9524" spans="4:4" x14ac:dyDescent="0.25">
      <c r="D9524" s="102"/>
    </row>
    <row r="9525" spans="4:4" x14ac:dyDescent="0.25">
      <c r="D9525" s="102"/>
    </row>
    <row r="9526" spans="4:4" x14ac:dyDescent="0.25">
      <c r="D9526" s="102"/>
    </row>
    <row r="9527" spans="4:4" x14ac:dyDescent="0.25">
      <c r="D9527" s="102"/>
    </row>
    <row r="9528" spans="4:4" x14ac:dyDescent="0.25">
      <c r="D9528" s="102"/>
    </row>
    <row r="9529" spans="4:4" x14ac:dyDescent="0.25">
      <c r="D9529" s="102"/>
    </row>
    <row r="9530" spans="4:4" x14ac:dyDescent="0.25">
      <c r="D9530" s="102"/>
    </row>
    <row r="9531" spans="4:4" x14ac:dyDescent="0.25">
      <c r="D9531" s="102"/>
    </row>
    <row r="9532" spans="4:4" x14ac:dyDescent="0.25">
      <c r="D9532" s="102"/>
    </row>
    <row r="9533" spans="4:4" x14ac:dyDescent="0.25">
      <c r="D9533" s="102"/>
    </row>
    <row r="9534" spans="4:4" x14ac:dyDescent="0.25">
      <c r="D9534" s="102"/>
    </row>
    <row r="9535" spans="4:4" x14ac:dyDescent="0.25">
      <c r="D9535" s="102"/>
    </row>
    <row r="9536" spans="4:4" x14ac:dyDescent="0.25">
      <c r="D9536" s="102"/>
    </row>
    <row r="9537" spans="4:4" x14ac:dyDescent="0.25">
      <c r="D9537" s="102"/>
    </row>
    <row r="9538" spans="4:4" x14ac:dyDescent="0.25">
      <c r="D9538" s="102"/>
    </row>
    <row r="9539" spans="4:4" x14ac:dyDescent="0.25">
      <c r="D9539" s="102"/>
    </row>
    <row r="9540" spans="4:4" x14ac:dyDescent="0.25">
      <c r="D9540" s="102"/>
    </row>
    <row r="9541" spans="4:4" x14ac:dyDescent="0.25">
      <c r="D9541" s="102"/>
    </row>
    <row r="9542" spans="4:4" x14ac:dyDescent="0.25">
      <c r="D9542" s="102"/>
    </row>
    <row r="9543" spans="4:4" x14ac:dyDescent="0.25">
      <c r="D9543" s="102"/>
    </row>
    <row r="9544" spans="4:4" x14ac:dyDescent="0.25">
      <c r="D9544" s="102"/>
    </row>
    <row r="9545" spans="4:4" x14ac:dyDescent="0.25">
      <c r="D9545" s="102"/>
    </row>
    <row r="9546" spans="4:4" x14ac:dyDescent="0.25">
      <c r="D9546" s="102"/>
    </row>
    <row r="9547" spans="4:4" x14ac:dyDescent="0.25">
      <c r="D9547" s="102"/>
    </row>
    <row r="9548" spans="4:4" x14ac:dyDescent="0.25">
      <c r="D9548" s="102"/>
    </row>
    <row r="9549" spans="4:4" x14ac:dyDescent="0.25">
      <c r="D9549" s="102"/>
    </row>
    <row r="9550" spans="4:4" x14ac:dyDescent="0.25">
      <c r="D9550" s="102"/>
    </row>
    <row r="9551" spans="4:4" x14ac:dyDescent="0.25">
      <c r="D9551" s="102"/>
    </row>
    <row r="9552" spans="4:4" x14ac:dyDescent="0.25">
      <c r="D9552" s="102"/>
    </row>
    <row r="9553" spans="4:4" x14ac:dyDescent="0.25">
      <c r="D9553" s="102"/>
    </row>
    <row r="9554" spans="4:4" x14ac:dyDescent="0.25">
      <c r="D9554" s="102"/>
    </row>
    <row r="9555" spans="4:4" x14ac:dyDescent="0.25">
      <c r="D9555" s="102"/>
    </row>
    <row r="9556" spans="4:4" x14ac:dyDescent="0.25">
      <c r="D9556" s="102"/>
    </row>
    <row r="9557" spans="4:4" x14ac:dyDescent="0.25">
      <c r="D9557" s="102"/>
    </row>
    <row r="9558" spans="4:4" x14ac:dyDescent="0.25">
      <c r="D9558" s="102"/>
    </row>
    <row r="9559" spans="4:4" x14ac:dyDescent="0.25">
      <c r="D9559" s="102"/>
    </row>
    <row r="9560" spans="4:4" x14ac:dyDescent="0.25">
      <c r="D9560" s="102"/>
    </row>
    <row r="9561" spans="4:4" x14ac:dyDescent="0.25">
      <c r="D9561" s="102"/>
    </row>
    <row r="9562" spans="4:4" x14ac:dyDescent="0.25">
      <c r="D9562" s="102"/>
    </row>
    <row r="9563" spans="4:4" x14ac:dyDescent="0.25">
      <c r="D9563" s="102"/>
    </row>
    <row r="9564" spans="4:4" x14ac:dyDescent="0.25">
      <c r="D9564" s="102"/>
    </row>
    <row r="9565" spans="4:4" x14ac:dyDescent="0.25">
      <c r="D9565" s="102"/>
    </row>
    <row r="9566" spans="4:4" x14ac:dyDescent="0.25">
      <c r="D9566" s="102"/>
    </row>
    <row r="9567" spans="4:4" x14ac:dyDescent="0.25">
      <c r="D9567" s="102"/>
    </row>
    <row r="9568" spans="4:4" x14ac:dyDescent="0.25">
      <c r="D9568" s="102"/>
    </row>
    <row r="9569" spans="4:4" x14ac:dyDescent="0.25">
      <c r="D9569" s="102"/>
    </row>
    <row r="9570" spans="4:4" x14ac:dyDescent="0.25">
      <c r="D9570" s="102"/>
    </row>
    <row r="9571" spans="4:4" x14ac:dyDescent="0.25">
      <c r="D9571" s="102"/>
    </row>
    <row r="9572" spans="4:4" x14ac:dyDescent="0.25">
      <c r="D9572" s="102"/>
    </row>
    <row r="9573" spans="4:4" x14ac:dyDescent="0.25">
      <c r="D9573" s="102"/>
    </row>
    <row r="9574" spans="4:4" x14ac:dyDescent="0.25">
      <c r="D9574" s="102"/>
    </row>
    <row r="9575" spans="4:4" x14ac:dyDescent="0.25">
      <c r="D9575" s="102"/>
    </row>
    <row r="9576" spans="4:4" x14ac:dyDescent="0.25">
      <c r="D9576" s="102"/>
    </row>
    <row r="9577" spans="4:4" x14ac:dyDescent="0.25">
      <c r="D9577" s="102"/>
    </row>
    <row r="9578" spans="4:4" x14ac:dyDescent="0.25">
      <c r="D9578" s="102"/>
    </row>
    <row r="9579" spans="4:4" x14ac:dyDescent="0.25">
      <c r="D9579" s="102"/>
    </row>
    <row r="9580" spans="4:4" x14ac:dyDescent="0.25">
      <c r="D9580" s="102"/>
    </row>
    <row r="9581" spans="4:4" x14ac:dyDescent="0.25">
      <c r="D9581" s="102"/>
    </row>
    <row r="9582" spans="4:4" x14ac:dyDescent="0.25">
      <c r="D9582" s="102"/>
    </row>
    <row r="9583" spans="4:4" x14ac:dyDescent="0.25">
      <c r="D9583" s="102"/>
    </row>
    <row r="9584" spans="4:4" x14ac:dyDescent="0.25">
      <c r="D9584" s="102"/>
    </row>
    <row r="9585" spans="4:4" x14ac:dyDescent="0.25">
      <c r="D9585" s="102"/>
    </row>
    <row r="9586" spans="4:4" x14ac:dyDescent="0.25">
      <c r="D9586" s="102"/>
    </row>
    <row r="9587" spans="4:4" x14ac:dyDescent="0.25">
      <c r="D9587" s="102"/>
    </row>
    <row r="9588" spans="4:4" x14ac:dyDescent="0.25">
      <c r="D9588" s="102"/>
    </row>
    <row r="9589" spans="4:4" x14ac:dyDescent="0.25">
      <c r="D9589" s="102"/>
    </row>
    <row r="9590" spans="4:4" x14ac:dyDescent="0.25">
      <c r="D9590" s="102"/>
    </row>
    <row r="9591" spans="4:4" x14ac:dyDescent="0.25">
      <c r="D9591" s="102"/>
    </row>
    <row r="9592" spans="4:4" x14ac:dyDescent="0.25">
      <c r="D9592" s="102"/>
    </row>
    <row r="9593" spans="4:4" x14ac:dyDescent="0.25">
      <c r="D9593" s="102"/>
    </row>
    <row r="9594" spans="4:4" x14ac:dyDescent="0.25">
      <c r="D9594" s="102"/>
    </row>
    <row r="9595" spans="4:4" x14ac:dyDescent="0.25">
      <c r="D9595" s="102"/>
    </row>
    <row r="9596" spans="4:4" x14ac:dyDescent="0.25">
      <c r="D9596" s="102"/>
    </row>
    <row r="9597" spans="4:4" x14ac:dyDescent="0.25">
      <c r="D9597" s="102"/>
    </row>
    <row r="9598" spans="4:4" x14ac:dyDescent="0.25">
      <c r="D9598" s="102"/>
    </row>
    <row r="9599" spans="4:4" x14ac:dyDescent="0.25">
      <c r="D9599" s="102"/>
    </row>
    <row r="9600" spans="4:4" x14ac:dyDescent="0.25">
      <c r="D9600" s="102"/>
    </row>
    <row r="9601" spans="4:4" x14ac:dyDescent="0.25">
      <c r="D9601" s="102"/>
    </row>
    <row r="9602" spans="4:4" x14ac:dyDescent="0.25">
      <c r="D9602" s="102"/>
    </row>
    <row r="9603" spans="4:4" x14ac:dyDescent="0.25">
      <c r="D9603" s="102"/>
    </row>
    <row r="9604" spans="4:4" x14ac:dyDescent="0.25">
      <c r="D9604" s="102"/>
    </row>
    <row r="9605" spans="4:4" x14ac:dyDescent="0.25">
      <c r="D9605" s="102"/>
    </row>
    <row r="9606" spans="4:4" x14ac:dyDescent="0.25">
      <c r="D9606" s="102"/>
    </row>
    <row r="9607" spans="4:4" x14ac:dyDescent="0.25">
      <c r="D9607" s="102"/>
    </row>
    <row r="9608" spans="4:4" x14ac:dyDescent="0.25">
      <c r="D9608" s="102"/>
    </row>
    <row r="9609" spans="4:4" x14ac:dyDescent="0.25">
      <c r="D9609" s="102"/>
    </row>
    <row r="9610" spans="4:4" x14ac:dyDescent="0.25">
      <c r="D9610" s="102"/>
    </row>
    <row r="9611" spans="4:4" x14ac:dyDescent="0.25">
      <c r="D9611" s="102"/>
    </row>
    <row r="9612" spans="4:4" x14ac:dyDescent="0.25">
      <c r="D9612" s="102"/>
    </row>
    <row r="9613" spans="4:4" x14ac:dyDescent="0.25">
      <c r="D9613" s="102"/>
    </row>
    <row r="9614" spans="4:4" x14ac:dyDescent="0.25">
      <c r="D9614" s="102"/>
    </row>
    <row r="9615" spans="4:4" x14ac:dyDescent="0.25">
      <c r="D9615" s="102"/>
    </row>
    <row r="9616" spans="4:4" x14ac:dyDescent="0.25">
      <c r="D9616" s="102"/>
    </row>
    <row r="9617" spans="4:4" x14ac:dyDescent="0.25">
      <c r="D9617" s="102"/>
    </row>
    <row r="9618" spans="4:4" x14ac:dyDescent="0.25">
      <c r="D9618" s="102"/>
    </row>
    <row r="9619" spans="4:4" x14ac:dyDescent="0.25">
      <c r="D9619" s="102"/>
    </row>
    <row r="9620" spans="4:4" x14ac:dyDescent="0.25">
      <c r="D9620" s="102"/>
    </row>
    <row r="9621" spans="4:4" x14ac:dyDescent="0.25">
      <c r="D9621" s="102"/>
    </row>
    <row r="9622" spans="4:4" x14ac:dyDescent="0.25">
      <c r="D9622" s="102"/>
    </row>
    <row r="9623" spans="4:4" x14ac:dyDescent="0.25">
      <c r="D9623" s="102"/>
    </row>
    <row r="9624" spans="4:4" x14ac:dyDescent="0.25">
      <c r="D9624" s="102"/>
    </row>
    <row r="9625" spans="4:4" x14ac:dyDescent="0.25">
      <c r="D9625" s="102"/>
    </row>
    <row r="9626" spans="4:4" x14ac:dyDescent="0.25">
      <c r="D9626" s="102"/>
    </row>
    <row r="9627" spans="4:4" x14ac:dyDescent="0.25">
      <c r="D9627" s="102"/>
    </row>
    <row r="9628" spans="4:4" x14ac:dyDescent="0.25">
      <c r="D9628" s="102"/>
    </row>
    <row r="9629" spans="4:4" x14ac:dyDescent="0.25">
      <c r="D9629" s="102"/>
    </row>
    <row r="9630" spans="4:4" x14ac:dyDescent="0.25">
      <c r="D9630" s="102"/>
    </row>
    <row r="9631" spans="4:4" x14ac:dyDescent="0.25">
      <c r="D9631" s="102"/>
    </row>
    <row r="9632" spans="4:4" x14ac:dyDescent="0.25">
      <c r="D9632" s="102"/>
    </row>
    <row r="9633" spans="4:4" x14ac:dyDescent="0.25">
      <c r="D9633" s="102"/>
    </row>
    <row r="9634" spans="4:4" x14ac:dyDescent="0.25">
      <c r="D9634" s="102"/>
    </row>
    <row r="9635" spans="4:4" x14ac:dyDescent="0.25">
      <c r="D9635" s="102"/>
    </row>
    <row r="9636" spans="4:4" x14ac:dyDescent="0.25">
      <c r="D9636" s="102"/>
    </row>
    <row r="9637" spans="4:4" x14ac:dyDescent="0.25">
      <c r="D9637" s="102"/>
    </row>
    <row r="9638" spans="4:4" x14ac:dyDescent="0.25">
      <c r="D9638" s="102"/>
    </row>
    <row r="9639" spans="4:4" x14ac:dyDescent="0.25">
      <c r="D9639" s="102"/>
    </row>
    <row r="9640" spans="4:4" x14ac:dyDescent="0.25">
      <c r="D9640" s="102"/>
    </row>
    <row r="9641" spans="4:4" x14ac:dyDescent="0.25">
      <c r="D9641" s="102"/>
    </row>
    <row r="9642" spans="4:4" x14ac:dyDescent="0.25">
      <c r="D9642" s="102"/>
    </row>
    <row r="9643" spans="4:4" x14ac:dyDescent="0.25">
      <c r="D9643" s="102"/>
    </row>
    <row r="9644" spans="4:4" x14ac:dyDescent="0.25">
      <c r="D9644" s="102"/>
    </row>
    <row r="9645" spans="4:4" x14ac:dyDescent="0.25">
      <c r="D9645" s="102"/>
    </row>
    <row r="9646" spans="4:4" x14ac:dyDescent="0.25">
      <c r="D9646" s="102"/>
    </row>
    <row r="9647" spans="4:4" x14ac:dyDescent="0.25">
      <c r="D9647" s="102"/>
    </row>
    <row r="9648" spans="4:4" x14ac:dyDescent="0.25">
      <c r="D9648" s="102"/>
    </row>
    <row r="9649" spans="4:4" x14ac:dyDescent="0.25">
      <c r="D9649" s="102"/>
    </row>
    <row r="9650" spans="4:4" x14ac:dyDescent="0.25">
      <c r="D9650" s="102"/>
    </row>
    <row r="9651" spans="4:4" x14ac:dyDescent="0.25">
      <c r="D9651" s="102"/>
    </row>
    <row r="9652" spans="4:4" x14ac:dyDescent="0.25">
      <c r="D9652" s="102"/>
    </row>
    <row r="9653" spans="4:4" x14ac:dyDescent="0.25">
      <c r="D9653" s="102"/>
    </row>
    <row r="9654" spans="4:4" x14ac:dyDescent="0.25">
      <c r="D9654" s="102"/>
    </row>
    <row r="9655" spans="4:4" x14ac:dyDescent="0.25">
      <c r="D9655" s="102"/>
    </row>
    <row r="9656" spans="4:4" x14ac:dyDescent="0.25">
      <c r="D9656" s="102"/>
    </row>
    <row r="9657" spans="4:4" x14ac:dyDescent="0.25">
      <c r="D9657" s="102"/>
    </row>
    <row r="9658" spans="4:4" x14ac:dyDescent="0.25">
      <c r="D9658" s="102"/>
    </row>
    <row r="9659" spans="4:4" x14ac:dyDescent="0.25">
      <c r="D9659" s="102"/>
    </row>
    <row r="9660" spans="4:4" x14ac:dyDescent="0.25">
      <c r="D9660" s="102"/>
    </row>
    <row r="9661" spans="4:4" x14ac:dyDescent="0.25">
      <c r="D9661" s="102"/>
    </row>
    <row r="9662" spans="4:4" x14ac:dyDescent="0.25">
      <c r="D9662" s="102"/>
    </row>
    <row r="9663" spans="4:4" x14ac:dyDescent="0.25">
      <c r="D9663" s="102"/>
    </row>
    <row r="9664" spans="4:4" x14ac:dyDescent="0.25">
      <c r="D9664" s="102"/>
    </row>
    <row r="9665" spans="4:4" x14ac:dyDescent="0.25">
      <c r="D9665" s="102"/>
    </row>
    <row r="9666" spans="4:4" x14ac:dyDescent="0.25">
      <c r="D9666" s="102"/>
    </row>
    <row r="9667" spans="4:4" x14ac:dyDescent="0.25">
      <c r="D9667" s="102"/>
    </row>
    <row r="9668" spans="4:4" x14ac:dyDescent="0.25">
      <c r="D9668" s="102"/>
    </row>
    <row r="9669" spans="4:4" x14ac:dyDescent="0.25">
      <c r="D9669" s="102"/>
    </row>
    <row r="9670" spans="4:4" x14ac:dyDescent="0.25">
      <c r="D9670" s="102"/>
    </row>
    <row r="9671" spans="4:4" x14ac:dyDescent="0.25">
      <c r="D9671" s="102"/>
    </row>
    <row r="9672" spans="4:4" x14ac:dyDescent="0.25">
      <c r="D9672" s="102"/>
    </row>
    <row r="9673" spans="4:4" x14ac:dyDescent="0.25">
      <c r="D9673" s="102"/>
    </row>
    <row r="9674" spans="4:4" x14ac:dyDescent="0.25">
      <c r="D9674" s="102"/>
    </row>
    <row r="9675" spans="4:4" x14ac:dyDescent="0.25">
      <c r="D9675" s="102"/>
    </row>
    <row r="9676" spans="4:4" x14ac:dyDescent="0.25">
      <c r="D9676" s="102"/>
    </row>
    <row r="9677" spans="4:4" x14ac:dyDescent="0.25">
      <c r="D9677" s="102"/>
    </row>
    <row r="9678" spans="4:4" x14ac:dyDescent="0.25">
      <c r="D9678" s="102"/>
    </row>
    <row r="9679" spans="4:4" x14ac:dyDescent="0.25">
      <c r="D9679" s="102"/>
    </row>
    <row r="9680" spans="4:4" x14ac:dyDescent="0.25">
      <c r="D9680" s="102"/>
    </row>
    <row r="9681" spans="4:4" x14ac:dyDescent="0.25">
      <c r="D9681" s="102"/>
    </row>
    <row r="9682" spans="4:4" x14ac:dyDescent="0.25">
      <c r="D9682" s="102"/>
    </row>
    <row r="9683" spans="4:4" x14ac:dyDescent="0.25">
      <c r="D9683" s="102"/>
    </row>
    <row r="9684" spans="4:4" x14ac:dyDescent="0.25">
      <c r="D9684" s="102"/>
    </row>
    <row r="9685" spans="4:4" x14ac:dyDescent="0.25">
      <c r="D9685" s="102"/>
    </row>
    <row r="9686" spans="4:4" x14ac:dyDescent="0.25">
      <c r="D9686" s="102"/>
    </row>
    <row r="9687" spans="4:4" x14ac:dyDescent="0.25">
      <c r="D9687" s="102"/>
    </row>
    <row r="9688" spans="4:4" x14ac:dyDescent="0.25">
      <c r="D9688" s="102"/>
    </row>
    <row r="9689" spans="4:4" x14ac:dyDescent="0.25">
      <c r="D9689" s="102"/>
    </row>
    <row r="9690" spans="4:4" x14ac:dyDescent="0.25">
      <c r="D9690" s="102"/>
    </row>
    <row r="9691" spans="4:4" x14ac:dyDescent="0.25">
      <c r="D9691" s="102"/>
    </row>
    <row r="9692" spans="4:4" x14ac:dyDescent="0.25">
      <c r="D9692" s="102"/>
    </row>
    <row r="9693" spans="4:4" x14ac:dyDescent="0.25">
      <c r="D9693" s="102"/>
    </row>
    <row r="9694" spans="4:4" x14ac:dyDescent="0.25">
      <c r="D9694" s="102"/>
    </row>
    <row r="9695" spans="4:4" x14ac:dyDescent="0.25">
      <c r="D9695" s="102"/>
    </row>
    <row r="9696" spans="4:4" x14ac:dyDescent="0.25">
      <c r="D9696" s="102"/>
    </row>
    <row r="9697" spans="4:4" x14ac:dyDescent="0.25">
      <c r="D9697" s="102"/>
    </row>
    <row r="9698" spans="4:4" x14ac:dyDescent="0.25">
      <c r="D9698" s="102"/>
    </row>
    <row r="9699" spans="4:4" x14ac:dyDescent="0.25">
      <c r="D9699" s="102"/>
    </row>
    <row r="9700" spans="4:4" x14ac:dyDescent="0.25">
      <c r="D9700" s="102"/>
    </row>
    <row r="9701" spans="4:4" x14ac:dyDescent="0.25">
      <c r="D9701" s="102"/>
    </row>
    <row r="9702" spans="4:4" x14ac:dyDescent="0.25">
      <c r="D9702" s="102"/>
    </row>
    <row r="9703" spans="4:4" x14ac:dyDescent="0.25">
      <c r="D9703" s="102"/>
    </row>
    <row r="9704" spans="4:4" x14ac:dyDescent="0.25">
      <c r="D9704" s="102"/>
    </row>
    <row r="9705" spans="4:4" x14ac:dyDescent="0.25">
      <c r="D9705" s="102"/>
    </row>
    <row r="9706" spans="4:4" x14ac:dyDescent="0.25">
      <c r="D9706" s="102"/>
    </row>
    <row r="9707" spans="4:4" x14ac:dyDescent="0.25">
      <c r="D9707" s="102"/>
    </row>
    <row r="9708" spans="4:4" x14ac:dyDescent="0.25">
      <c r="D9708" s="102"/>
    </row>
    <row r="9709" spans="4:4" x14ac:dyDescent="0.25">
      <c r="D9709" s="102"/>
    </row>
    <row r="9710" spans="4:4" x14ac:dyDescent="0.25">
      <c r="D9710" s="102"/>
    </row>
    <row r="9711" spans="4:4" x14ac:dyDescent="0.25">
      <c r="D9711" s="102"/>
    </row>
    <row r="9712" spans="4:4" x14ac:dyDescent="0.25">
      <c r="D9712" s="102"/>
    </row>
    <row r="9713" spans="4:4" x14ac:dyDescent="0.25">
      <c r="D9713" s="102"/>
    </row>
    <row r="9714" spans="4:4" x14ac:dyDescent="0.25">
      <c r="D9714" s="102"/>
    </row>
    <row r="9715" spans="4:4" x14ac:dyDescent="0.25">
      <c r="D9715" s="102"/>
    </row>
    <row r="9716" spans="4:4" x14ac:dyDescent="0.25">
      <c r="D9716" s="102"/>
    </row>
    <row r="9717" spans="4:4" x14ac:dyDescent="0.25">
      <c r="D9717" s="102"/>
    </row>
    <row r="9718" spans="4:4" x14ac:dyDescent="0.25">
      <c r="D9718" s="102"/>
    </row>
    <row r="9719" spans="4:4" x14ac:dyDescent="0.25">
      <c r="D9719" s="102"/>
    </row>
    <row r="9720" spans="4:4" x14ac:dyDescent="0.25">
      <c r="D9720" s="102"/>
    </row>
    <row r="9721" spans="4:4" x14ac:dyDescent="0.25">
      <c r="D9721" s="102"/>
    </row>
    <row r="9722" spans="4:4" x14ac:dyDescent="0.25">
      <c r="D9722" s="102"/>
    </row>
    <row r="9723" spans="4:4" x14ac:dyDescent="0.25">
      <c r="D9723" s="102"/>
    </row>
    <row r="9724" spans="4:4" x14ac:dyDescent="0.25">
      <c r="D9724" s="102"/>
    </row>
    <row r="9725" spans="4:4" x14ac:dyDescent="0.25">
      <c r="D9725" s="102"/>
    </row>
    <row r="9726" spans="4:4" x14ac:dyDescent="0.25">
      <c r="D9726" s="102"/>
    </row>
    <row r="9727" spans="4:4" x14ac:dyDescent="0.25">
      <c r="D9727" s="102"/>
    </row>
    <row r="9728" spans="4:4" x14ac:dyDescent="0.25">
      <c r="D9728" s="102"/>
    </row>
    <row r="9729" spans="4:4" x14ac:dyDescent="0.25">
      <c r="D9729" s="102"/>
    </row>
    <row r="9730" spans="4:4" x14ac:dyDescent="0.25">
      <c r="D9730" s="102"/>
    </row>
    <row r="9731" spans="4:4" x14ac:dyDescent="0.25">
      <c r="D9731" s="102"/>
    </row>
    <row r="9732" spans="4:4" x14ac:dyDescent="0.25">
      <c r="D9732" s="102"/>
    </row>
    <row r="9733" spans="4:4" x14ac:dyDescent="0.25">
      <c r="D9733" s="102"/>
    </row>
    <row r="9734" spans="4:4" x14ac:dyDescent="0.25">
      <c r="D9734" s="102"/>
    </row>
    <row r="9735" spans="4:4" x14ac:dyDescent="0.25">
      <c r="D9735" s="102"/>
    </row>
    <row r="9736" spans="4:4" x14ac:dyDescent="0.25">
      <c r="D9736" s="102"/>
    </row>
    <row r="9737" spans="4:4" x14ac:dyDescent="0.25">
      <c r="D9737" s="102"/>
    </row>
    <row r="9738" spans="4:4" x14ac:dyDescent="0.25">
      <c r="D9738" s="102"/>
    </row>
    <row r="9739" spans="4:4" x14ac:dyDescent="0.25">
      <c r="D9739" s="102"/>
    </row>
    <row r="9740" spans="4:4" x14ac:dyDescent="0.25">
      <c r="D9740" s="102"/>
    </row>
    <row r="9741" spans="4:4" x14ac:dyDescent="0.25">
      <c r="D9741" s="102"/>
    </row>
    <row r="9742" spans="4:4" x14ac:dyDescent="0.25">
      <c r="D9742" s="102"/>
    </row>
    <row r="9743" spans="4:4" x14ac:dyDescent="0.25">
      <c r="D9743" s="102"/>
    </row>
    <row r="9744" spans="4:4" x14ac:dyDescent="0.25">
      <c r="D9744" s="102"/>
    </row>
    <row r="9745" spans="4:4" x14ac:dyDescent="0.25">
      <c r="D9745" s="102"/>
    </row>
    <row r="9746" spans="4:4" x14ac:dyDescent="0.25">
      <c r="D9746" s="102"/>
    </row>
    <row r="9747" spans="4:4" x14ac:dyDescent="0.25">
      <c r="D9747" s="102"/>
    </row>
    <row r="9748" spans="4:4" x14ac:dyDescent="0.25">
      <c r="D9748" s="102"/>
    </row>
    <row r="9749" spans="4:4" x14ac:dyDescent="0.25">
      <c r="D9749" s="102"/>
    </row>
    <row r="9750" spans="4:4" x14ac:dyDescent="0.25">
      <c r="D9750" s="102"/>
    </row>
    <row r="9751" spans="4:4" x14ac:dyDescent="0.25">
      <c r="D9751" s="102"/>
    </row>
    <row r="9752" spans="4:4" x14ac:dyDescent="0.25">
      <c r="D9752" s="102"/>
    </row>
    <row r="9753" spans="4:4" x14ac:dyDescent="0.25">
      <c r="D9753" s="102"/>
    </row>
    <row r="9754" spans="4:4" x14ac:dyDescent="0.25">
      <c r="D9754" s="102"/>
    </row>
    <row r="9755" spans="4:4" x14ac:dyDescent="0.25">
      <c r="D9755" s="102"/>
    </row>
    <row r="9756" spans="4:4" x14ac:dyDescent="0.25">
      <c r="D9756" s="102"/>
    </row>
    <row r="9757" spans="4:4" x14ac:dyDescent="0.25">
      <c r="D9757" s="102"/>
    </row>
    <row r="9758" spans="4:4" x14ac:dyDescent="0.25">
      <c r="D9758" s="102"/>
    </row>
    <row r="9759" spans="4:4" x14ac:dyDescent="0.25">
      <c r="D9759" s="102"/>
    </row>
    <row r="9760" spans="4:4" x14ac:dyDescent="0.25">
      <c r="D9760" s="102"/>
    </row>
    <row r="9761" spans="4:4" x14ac:dyDescent="0.25">
      <c r="D9761" s="102"/>
    </row>
    <row r="9762" spans="4:4" x14ac:dyDescent="0.25">
      <c r="D9762" s="102"/>
    </row>
    <row r="9763" spans="4:4" x14ac:dyDescent="0.25">
      <c r="D9763" s="102"/>
    </row>
    <row r="9764" spans="4:4" x14ac:dyDescent="0.25">
      <c r="D9764" s="102"/>
    </row>
    <row r="9765" spans="4:4" x14ac:dyDescent="0.25">
      <c r="D9765" s="102"/>
    </row>
    <row r="9766" spans="4:4" x14ac:dyDescent="0.25">
      <c r="D9766" s="102"/>
    </row>
    <row r="9767" spans="4:4" x14ac:dyDescent="0.25">
      <c r="D9767" s="102"/>
    </row>
    <row r="9768" spans="4:4" x14ac:dyDescent="0.25">
      <c r="D9768" s="102"/>
    </row>
    <row r="9769" spans="4:4" x14ac:dyDescent="0.25">
      <c r="D9769" s="102"/>
    </row>
    <row r="9770" spans="4:4" x14ac:dyDescent="0.25">
      <c r="D9770" s="102"/>
    </row>
    <row r="9771" spans="4:4" x14ac:dyDescent="0.25">
      <c r="D9771" s="102"/>
    </row>
    <row r="9772" spans="4:4" x14ac:dyDescent="0.25">
      <c r="D9772" s="102"/>
    </row>
    <row r="9773" spans="4:4" x14ac:dyDescent="0.25">
      <c r="D9773" s="102"/>
    </row>
    <row r="9774" spans="4:4" x14ac:dyDescent="0.25">
      <c r="D9774" s="102"/>
    </row>
    <row r="9775" spans="4:4" x14ac:dyDescent="0.25">
      <c r="D9775" s="102"/>
    </row>
    <row r="9776" spans="4:4" x14ac:dyDescent="0.25">
      <c r="D9776" s="102"/>
    </row>
    <row r="9777" spans="4:4" x14ac:dyDescent="0.25">
      <c r="D9777" s="102"/>
    </row>
    <row r="9778" spans="4:4" x14ac:dyDescent="0.25">
      <c r="D9778" s="102"/>
    </row>
    <row r="9779" spans="4:4" x14ac:dyDescent="0.25">
      <c r="D9779" s="102"/>
    </row>
    <row r="9780" spans="4:4" x14ac:dyDescent="0.25">
      <c r="D9780" s="102"/>
    </row>
    <row r="9781" spans="4:4" x14ac:dyDescent="0.25">
      <c r="D9781" s="102"/>
    </row>
    <row r="9782" spans="4:4" x14ac:dyDescent="0.25">
      <c r="D9782" s="102"/>
    </row>
    <row r="9783" spans="4:4" x14ac:dyDescent="0.25">
      <c r="D9783" s="102"/>
    </row>
    <row r="9784" spans="4:4" x14ac:dyDescent="0.25">
      <c r="D9784" s="102"/>
    </row>
    <row r="9785" spans="4:4" x14ac:dyDescent="0.25">
      <c r="D9785" s="102"/>
    </row>
    <row r="9786" spans="4:4" x14ac:dyDescent="0.25">
      <c r="D9786" s="102"/>
    </row>
    <row r="9787" spans="4:4" x14ac:dyDescent="0.25">
      <c r="D9787" s="102"/>
    </row>
    <row r="9788" spans="4:4" x14ac:dyDescent="0.25">
      <c r="D9788" s="102"/>
    </row>
    <row r="9789" spans="4:4" x14ac:dyDescent="0.25">
      <c r="D9789" s="102"/>
    </row>
    <row r="9790" spans="4:4" x14ac:dyDescent="0.25">
      <c r="D9790" s="102"/>
    </row>
    <row r="9791" spans="4:4" x14ac:dyDescent="0.25">
      <c r="D9791" s="102"/>
    </row>
    <row r="9792" spans="4:4" x14ac:dyDescent="0.25">
      <c r="D9792" s="102"/>
    </row>
    <row r="9793" spans="4:4" x14ac:dyDescent="0.25">
      <c r="D9793" s="102"/>
    </row>
    <row r="9794" spans="4:4" x14ac:dyDescent="0.25">
      <c r="D9794" s="102"/>
    </row>
    <row r="9795" spans="4:4" x14ac:dyDescent="0.25">
      <c r="D9795" s="102"/>
    </row>
    <row r="9796" spans="4:4" x14ac:dyDescent="0.25">
      <c r="D9796" s="102"/>
    </row>
    <row r="9797" spans="4:4" x14ac:dyDescent="0.25">
      <c r="D9797" s="102"/>
    </row>
    <row r="9798" spans="4:4" x14ac:dyDescent="0.25">
      <c r="D9798" s="102"/>
    </row>
    <row r="9799" spans="4:4" x14ac:dyDescent="0.25">
      <c r="D9799" s="102"/>
    </row>
    <row r="9800" spans="4:4" x14ac:dyDescent="0.25">
      <c r="D9800" s="102"/>
    </row>
    <row r="9801" spans="4:4" x14ac:dyDescent="0.25">
      <c r="D9801" s="102"/>
    </row>
    <row r="9802" spans="4:4" x14ac:dyDescent="0.25">
      <c r="D9802" s="102"/>
    </row>
    <row r="9803" spans="4:4" x14ac:dyDescent="0.25">
      <c r="D9803" s="102"/>
    </row>
    <row r="9804" spans="4:4" x14ac:dyDescent="0.25">
      <c r="D9804" s="102"/>
    </row>
    <row r="9805" spans="4:4" x14ac:dyDescent="0.25">
      <c r="D9805" s="102"/>
    </row>
    <row r="9806" spans="4:4" x14ac:dyDescent="0.25">
      <c r="D9806" s="102"/>
    </row>
    <row r="9807" spans="4:4" x14ac:dyDescent="0.25">
      <c r="D9807" s="102"/>
    </row>
    <row r="9808" spans="4:4" x14ac:dyDescent="0.25">
      <c r="D9808" s="102"/>
    </row>
    <row r="9809" spans="4:4" x14ac:dyDescent="0.25">
      <c r="D9809" s="102"/>
    </row>
    <row r="9810" spans="4:4" x14ac:dyDescent="0.25">
      <c r="D9810" s="102"/>
    </row>
    <row r="9811" spans="4:4" x14ac:dyDescent="0.25">
      <c r="D9811" s="102"/>
    </row>
    <row r="9812" spans="4:4" x14ac:dyDescent="0.25">
      <c r="D9812" s="102"/>
    </row>
    <row r="9813" spans="4:4" x14ac:dyDescent="0.25">
      <c r="D9813" s="102"/>
    </row>
    <row r="9814" spans="4:4" x14ac:dyDescent="0.25">
      <c r="D9814" s="102"/>
    </row>
    <row r="9815" spans="4:4" x14ac:dyDescent="0.25">
      <c r="D9815" s="102"/>
    </row>
    <row r="9816" spans="4:4" x14ac:dyDescent="0.25">
      <c r="D9816" s="102"/>
    </row>
    <row r="9817" spans="4:4" x14ac:dyDescent="0.25">
      <c r="D9817" s="102"/>
    </row>
    <row r="9818" spans="4:4" x14ac:dyDescent="0.25">
      <c r="D9818" s="102"/>
    </row>
    <row r="9819" spans="4:4" x14ac:dyDescent="0.25">
      <c r="D9819" s="102"/>
    </row>
    <row r="9820" spans="4:4" x14ac:dyDescent="0.25">
      <c r="D9820" s="102"/>
    </row>
    <row r="9821" spans="4:4" x14ac:dyDescent="0.25">
      <c r="D9821" s="102"/>
    </row>
    <row r="9822" spans="4:4" x14ac:dyDescent="0.25">
      <c r="D9822" s="102"/>
    </row>
    <row r="9823" spans="4:4" x14ac:dyDescent="0.25">
      <c r="D9823" s="102"/>
    </row>
    <row r="9824" spans="4:4" x14ac:dyDescent="0.25">
      <c r="D9824" s="102"/>
    </row>
    <row r="9825" spans="4:4" x14ac:dyDescent="0.25">
      <c r="D9825" s="102"/>
    </row>
    <row r="9826" spans="4:4" x14ac:dyDescent="0.25">
      <c r="D9826" s="102"/>
    </row>
    <row r="9827" spans="4:4" x14ac:dyDescent="0.25">
      <c r="D9827" s="102"/>
    </row>
    <row r="9828" spans="4:4" x14ac:dyDescent="0.25">
      <c r="D9828" s="102"/>
    </row>
    <row r="9829" spans="4:4" x14ac:dyDescent="0.25">
      <c r="D9829" s="102"/>
    </row>
    <row r="9830" spans="4:4" x14ac:dyDescent="0.25">
      <c r="D9830" s="102"/>
    </row>
    <row r="9831" spans="4:4" x14ac:dyDescent="0.25">
      <c r="D9831" s="102"/>
    </row>
    <row r="9832" spans="4:4" x14ac:dyDescent="0.25">
      <c r="D9832" s="102"/>
    </row>
    <row r="9833" spans="4:4" x14ac:dyDescent="0.25">
      <c r="D9833" s="102"/>
    </row>
    <row r="9834" spans="4:4" x14ac:dyDescent="0.25">
      <c r="D9834" s="102"/>
    </row>
    <row r="9835" spans="4:4" x14ac:dyDescent="0.25">
      <c r="D9835" s="102"/>
    </row>
    <row r="9836" spans="4:4" x14ac:dyDescent="0.25">
      <c r="D9836" s="102"/>
    </row>
    <row r="9837" spans="4:4" x14ac:dyDescent="0.25">
      <c r="D9837" s="102"/>
    </row>
    <row r="9838" spans="4:4" x14ac:dyDescent="0.25">
      <c r="D9838" s="102"/>
    </row>
    <row r="9839" spans="4:4" x14ac:dyDescent="0.25">
      <c r="D9839" s="102"/>
    </row>
    <row r="9840" spans="4:4" x14ac:dyDescent="0.25">
      <c r="D9840" s="102"/>
    </row>
    <row r="9841" spans="4:4" x14ac:dyDescent="0.25">
      <c r="D9841" s="102"/>
    </row>
    <row r="9842" spans="4:4" x14ac:dyDescent="0.25">
      <c r="D9842" s="102"/>
    </row>
    <row r="9843" spans="4:4" x14ac:dyDescent="0.25">
      <c r="D9843" s="102"/>
    </row>
    <row r="9844" spans="4:4" x14ac:dyDescent="0.25">
      <c r="D9844" s="102"/>
    </row>
    <row r="9845" spans="4:4" x14ac:dyDescent="0.25">
      <c r="D9845" s="102"/>
    </row>
    <row r="9846" spans="4:4" x14ac:dyDescent="0.25">
      <c r="D9846" s="102"/>
    </row>
    <row r="9847" spans="4:4" x14ac:dyDescent="0.25">
      <c r="D9847" s="102"/>
    </row>
    <row r="9848" spans="4:4" x14ac:dyDescent="0.25">
      <c r="D9848" s="102"/>
    </row>
    <row r="9849" spans="4:4" x14ac:dyDescent="0.25">
      <c r="D9849" s="102"/>
    </row>
    <row r="9850" spans="4:4" x14ac:dyDescent="0.25">
      <c r="D9850" s="102"/>
    </row>
    <row r="9851" spans="4:4" x14ac:dyDescent="0.25">
      <c r="D9851" s="102"/>
    </row>
    <row r="9852" spans="4:4" x14ac:dyDescent="0.25">
      <c r="D9852" s="102"/>
    </row>
    <row r="9853" spans="4:4" x14ac:dyDescent="0.25">
      <c r="D9853" s="102"/>
    </row>
    <row r="9854" spans="4:4" x14ac:dyDescent="0.25">
      <c r="D9854" s="102"/>
    </row>
    <row r="9855" spans="4:4" x14ac:dyDescent="0.25">
      <c r="D9855" s="102"/>
    </row>
    <row r="9856" spans="4:4" x14ac:dyDescent="0.25">
      <c r="D9856" s="102"/>
    </row>
    <row r="9857" spans="4:4" x14ac:dyDescent="0.25">
      <c r="D9857" s="102"/>
    </row>
    <row r="9858" spans="4:4" x14ac:dyDescent="0.25">
      <c r="D9858" s="102"/>
    </row>
    <row r="9859" spans="4:4" x14ac:dyDescent="0.25">
      <c r="D9859" s="102"/>
    </row>
    <row r="9860" spans="4:4" x14ac:dyDescent="0.25">
      <c r="D9860" s="102"/>
    </row>
    <row r="9861" spans="4:4" x14ac:dyDescent="0.25">
      <c r="D9861" s="102"/>
    </row>
    <row r="9862" spans="4:4" x14ac:dyDescent="0.25">
      <c r="D9862" s="102"/>
    </row>
    <row r="9863" spans="4:4" x14ac:dyDescent="0.25">
      <c r="D9863" s="102"/>
    </row>
    <row r="9864" spans="4:4" x14ac:dyDescent="0.25">
      <c r="D9864" s="102"/>
    </row>
    <row r="9865" spans="4:4" x14ac:dyDescent="0.25">
      <c r="D9865" s="102"/>
    </row>
    <row r="9866" spans="4:4" x14ac:dyDescent="0.25">
      <c r="D9866" s="102"/>
    </row>
    <row r="9867" spans="4:4" x14ac:dyDescent="0.25">
      <c r="D9867" s="102"/>
    </row>
    <row r="9868" spans="4:4" x14ac:dyDescent="0.25">
      <c r="D9868" s="102"/>
    </row>
    <row r="9869" spans="4:4" x14ac:dyDescent="0.25">
      <c r="D9869" s="102"/>
    </row>
    <row r="9870" spans="4:4" x14ac:dyDescent="0.25">
      <c r="D9870" s="102"/>
    </row>
    <row r="9871" spans="4:4" x14ac:dyDescent="0.25">
      <c r="D9871" s="102"/>
    </row>
    <row r="9872" spans="4:4" x14ac:dyDescent="0.25">
      <c r="D9872" s="102"/>
    </row>
    <row r="9873" spans="4:4" x14ac:dyDescent="0.25">
      <c r="D9873" s="102"/>
    </row>
    <row r="9874" spans="4:4" x14ac:dyDescent="0.25">
      <c r="D9874" s="102"/>
    </row>
    <row r="9875" spans="4:4" x14ac:dyDescent="0.25">
      <c r="D9875" s="102"/>
    </row>
    <row r="9876" spans="4:4" x14ac:dyDescent="0.25">
      <c r="D9876" s="102"/>
    </row>
    <row r="9877" spans="4:4" x14ac:dyDescent="0.25">
      <c r="D9877" s="102"/>
    </row>
    <row r="9878" spans="4:4" x14ac:dyDescent="0.25">
      <c r="D9878" s="102"/>
    </row>
    <row r="9879" spans="4:4" x14ac:dyDescent="0.25">
      <c r="D9879" s="102"/>
    </row>
    <row r="9880" spans="4:4" x14ac:dyDescent="0.25">
      <c r="D9880" s="102"/>
    </row>
    <row r="9881" spans="4:4" x14ac:dyDescent="0.25">
      <c r="D9881" s="102"/>
    </row>
    <row r="9882" spans="4:4" x14ac:dyDescent="0.25">
      <c r="D9882" s="102"/>
    </row>
    <row r="9883" spans="4:4" x14ac:dyDescent="0.25">
      <c r="D9883" s="102"/>
    </row>
    <row r="9884" spans="4:4" x14ac:dyDescent="0.25">
      <c r="D9884" s="102"/>
    </row>
    <row r="9885" spans="4:4" x14ac:dyDescent="0.25">
      <c r="D9885" s="102"/>
    </row>
    <row r="9886" spans="4:4" x14ac:dyDescent="0.25">
      <c r="D9886" s="102"/>
    </row>
    <row r="9887" spans="4:4" x14ac:dyDescent="0.25">
      <c r="D9887" s="102"/>
    </row>
    <row r="9888" spans="4:4" x14ac:dyDescent="0.25">
      <c r="D9888" s="102"/>
    </row>
    <row r="9889" spans="4:4" x14ac:dyDescent="0.25">
      <c r="D9889" s="102"/>
    </row>
    <row r="9890" spans="4:4" x14ac:dyDescent="0.25">
      <c r="D9890" s="102"/>
    </row>
    <row r="9891" spans="4:4" x14ac:dyDescent="0.25">
      <c r="D9891" s="102"/>
    </row>
    <row r="9892" spans="4:4" x14ac:dyDescent="0.25">
      <c r="D9892" s="102"/>
    </row>
    <row r="9893" spans="4:4" x14ac:dyDescent="0.25">
      <c r="D9893" s="102"/>
    </row>
    <row r="9894" spans="4:4" x14ac:dyDescent="0.25">
      <c r="D9894" s="102"/>
    </row>
    <row r="9895" spans="4:4" x14ac:dyDescent="0.25">
      <c r="D9895" s="102"/>
    </row>
    <row r="9896" spans="4:4" x14ac:dyDescent="0.25">
      <c r="D9896" s="102"/>
    </row>
    <row r="9897" spans="4:4" x14ac:dyDescent="0.25">
      <c r="D9897" s="102"/>
    </row>
    <row r="9898" spans="4:4" x14ac:dyDescent="0.25">
      <c r="D9898" s="102"/>
    </row>
    <row r="9899" spans="4:4" x14ac:dyDescent="0.25">
      <c r="D9899" s="102"/>
    </row>
    <row r="9900" spans="4:4" x14ac:dyDescent="0.25">
      <c r="D9900" s="102"/>
    </row>
    <row r="9901" spans="4:4" x14ac:dyDescent="0.25">
      <c r="D9901" s="102"/>
    </row>
    <row r="9902" spans="4:4" x14ac:dyDescent="0.25">
      <c r="D9902" s="102"/>
    </row>
    <row r="9903" spans="4:4" x14ac:dyDescent="0.25">
      <c r="D9903" s="102"/>
    </row>
    <row r="9904" spans="4:4" x14ac:dyDescent="0.25">
      <c r="D9904" s="102"/>
    </row>
    <row r="9905" spans="4:4" x14ac:dyDescent="0.25">
      <c r="D9905" s="102"/>
    </row>
    <row r="9906" spans="4:4" x14ac:dyDescent="0.25">
      <c r="D9906" s="102"/>
    </row>
    <row r="9907" spans="4:4" x14ac:dyDescent="0.25">
      <c r="D9907" s="102"/>
    </row>
    <row r="9908" spans="4:4" x14ac:dyDescent="0.25">
      <c r="D9908" s="102"/>
    </row>
    <row r="9909" spans="4:4" x14ac:dyDescent="0.25">
      <c r="D9909" s="102"/>
    </row>
    <row r="9910" spans="4:4" x14ac:dyDescent="0.25">
      <c r="D9910" s="102"/>
    </row>
    <row r="9911" spans="4:4" x14ac:dyDescent="0.25">
      <c r="D9911" s="102"/>
    </row>
    <row r="9912" spans="4:4" x14ac:dyDescent="0.25">
      <c r="D9912" s="102"/>
    </row>
    <row r="9913" spans="4:4" x14ac:dyDescent="0.25">
      <c r="D9913" s="102"/>
    </row>
    <row r="9914" spans="4:4" x14ac:dyDescent="0.25">
      <c r="D9914" s="102"/>
    </row>
    <row r="9915" spans="4:4" x14ac:dyDescent="0.25">
      <c r="D9915" s="102"/>
    </row>
    <row r="9916" spans="4:4" x14ac:dyDescent="0.25">
      <c r="D9916" s="102"/>
    </row>
    <row r="9917" spans="4:4" x14ac:dyDescent="0.25">
      <c r="D9917" s="102"/>
    </row>
    <row r="9918" spans="4:4" x14ac:dyDescent="0.25">
      <c r="D9918" s="102"/>
    </row>
    <row r="9919" spans="4:4" x14ac:dyDescent="0.25">
      <c r="D9919" s="102"/>
    </row>
    <row r="9920" spans="4:4" x14ac:dyDescent="0.25">
      <c r="D9920" s="102"/>
    </row>
    <row r="9921" spans="4:4" x14ac:dyDescent="0.25">
      <c r="D9921" s="102"/>
    </row>
    <row r="9922" spans="4:4" x14ac:dyDescent="0.25">
      <c r="D9922" s="102"/>
    </row>
    <row r="9923" spans="4:4" x14ac:dyDescent="0.25">
      <c r="D9923" s="102"/>
    </row>
    <row r="9924" spans="4:4" x14ac:dyDescent="0.25">
      <c r="D9924" s="102"/>
    </row>
    <row r="9925" spans="4:4" x14ac:dyDescent="0.25">
      <c r="D9925" s="102"/>
    </row>
    <row r="9926" spans="4:4" x14ac:dyDescent="0.25">
      <c r="D9926" s="102"/>
    </row>
    <row r="9927" spans="4:4" x14ac:dyDescent="0.25">
      <c r="D9927" s="102"/>
    </row>
    <row r="9928" spans="4:4" x14ac:dyDescent="0.25">
      <c r="D9928" s="102"/>
    </row>
    <row r="9929" spans="4:4" x14ac:dyDescent="0.25">
      <c r="D9929" s="102"/>
    </row>
    <row r="9930" spans="4:4" x14ac:dyDescent="0.25">
      <c r="D9930" s="102"/>
    </row>
    <row r="9931" spans="4:4" x14ac:dyDescent="0.25">
      <c r="D9931" s="102"/>
    </row>
    <row r="9932" spans="4:4" x14ac:dyDescent="0.25">
      <c r="D9932" s="102"/>
    </row>
    <row r="9933" spans="4:4" x14ac:dyDescent="0.25">
      <c r="D9933" s="102"/>
    </row>
    <row r="9934" spans="4:4" x14ac:dyDescent="0.25">
      <c r="D9934" s="102"/>
    </row>
    <row r="9935" spans="4:4" x14ac:dyDescent="0.25">
      <c r="D9935" s="102"/>
    </row>
    <row r="9936" spans="4:4" x14ac:dyDescent="0.25">
      <c r="D9936" s="102"/>
    </row>
    <row r="9937" spans="4:4" x14ac:dyDescent="0.25">
      <c r="D9937" s="102"/>
    </row>
    <row r="9938" spans="4:4" x14ac:dyDescent="0.25">
      <c r="D9938" s="102"/>
    </row>
    <row r="9939" spans="4:4" x14ac:dyDescent="0.25">
      <c r="D9939" s="102"/>
    </row>
    <row r="9940" spans="4:4" x14ac:dyDescent="0.25">
      <c r="D9940" s="102"/>
    </row>
    <row r="9941" spans="4:4" x14ac:dyDescent="0.25">
      <c r="D9941" s="102"/>
    </row>
    <row r="9942" spans="4:4" x14ac:dyDescent="0.25">
      <c r="D9942" s="102"/>
    </row>
    <row r="9943" spans="4:4" x14ac:dyDescent="0.25">
      <c r="D9943" s="102"/>
    </row>
    <row r="9944" spans="4:4" x14ac:dyDescent="0.25">
      <c r="D9944" s="102"/>
    </row>
    <row r="9945" spans="4:4" x14ac:dyDescent="0.25">
      <c r="D9945" s="102"/>
    </row>
    <row r="9946" spans="4:4" x14ac:dyDescent="0.25">
      <c r="D9946" s="102"/>
    </row>
    <row r="9947" spans="4:4" x14ac:dyDescent="0.25">
      <c r="D9947" s="102"/>
    </row>
    <row r="9948" spans="4:4" x14ac:dyDescent="0.25">
      <c r="D9948" s="102"/>
    </row>
    <row r="9949" spans="4:4" x14ac:dyDescent="0.25">
      <c r="D9949" s="102"/>
    </row>
    <row r="9950" spans="4:4" x14ac:dyDescent="0.25">
      <c r="D9950" s="102"/>
    </row>
    <row r="9951" spans="4:4" x14ac:dyDescent="0.25">
      <c r="D9951" s="102"/>
    </row>
    <row r="9952" spans="4:4" x14ac:dyDescent="0.25">
      <c r="D9952" s="102"/>
    </row>
    <row r="9953" spans="4:4" x14ac:dyDescent="0.25">
      <c r="D9953" s="102"/>
    </row>
    <row r="9954" spans="4:4" x14ac:dyDescent="0.25">
      <c r="D9954" s="102"/>
    </row>
    <row r="9955" spans="4:4" x14ac:dyDescent="0.25">
      <c r="D9955" s="102"/>
    </row>
    <row r="9956" spans="4:4" x14ac:dyDescent="0.25">
      <c r="D9956" s="102"/>
    </row>
    <row r="9957" spans="4:4" x14ac:dyDescent="0.25">
      <c r="D9957" s="102"/>
    </row>
    <row r="9958" spans="4:4" x14ac:dyDescent="0.25">
      <c r="D9958" s="102"/>
    </row>
    <row r="9959" spans="4:4" x14ac:dyDescent="0.25">
      <c r="D9959" s="102"/>
    </row>
    <row r="9960" spans="4:4" x14ac:dyDescent="0.25">
      <c r="D9960" s="102"/>
    </row>
    <row r="9961" spans="4:4" x14ac:dyDescent="0.25">
      <c r="D9961" s="102"/>
    </row>
    <row r="9962" spans="4:4" x14ac:dyDescent="0.25">
      <c r="D9962" s="102"/>
    </row>
    <row r="9963" spans="4:4" x14ac:dyDescent="0.25">
      <c r="D9963" s="102"/>
    </row>
    <row r="9964" spans="4:4" x14ac:dyDescent="0.25">
      <c r="D9964" s="102"/>
    </row>
    <row r="9965" spans="4:4" x14ac:dyDescent="0.25">
      <c r="D9965" s="102"/>
    </row>
    <row r="9966" spans="4:4" x14ac:dyDescent="0.25">
      <c r="D9966" s="102"/>
    </row>
    <row r="9967" spans="4:4" x14ac:dyDescent="0.25">
      <c r="D9967" s="102"/>
    </row>
    <row r="9968" spans="4:4" x14ac:dyDescent="0.25">
      <c r="D9968" s="102"/>
    </row>
    <row r="9969" spans="4:4" x14ac:dyDescent="0.25">
      <c r="D9969" s="102"/>
    </row>
    <row r="9970" spans="4:4" x14ac:dyDescent="0.25">
      <c r="D9970" s="102"/>
    </row>
    <row r="9971" spans="4:4" x14ac:dyDescent="0.25">
      <c r="D9971" s="102"/>
    </row>
    <row r="9972" spans="4:4" x14ac:dyDescent="0.25">
      <c r="D9972" s="102"/>
    </row>
    <row r="9973" spans="4:4" x14ac:dyDescent="0.25">
      <c r="D9973" s="102"/>
    </row>
    <row r="9974" spans="4:4" x14ac:dyDescent="0.25">
      <c r="D9974" s="102"/>
    </row>
    <row r="9975" spans="4:4" x14ac:dyDescent="0.25">
      <c r="D9975" s="102"/>
    </row>
    <row r="9976" spans="4:4" x14ac:dyDescent="0.25">
      <c r="D9976" s="102"/>
    </row>
    <row r="9977" spans="4:4" x14ac:dyDescent="0.25">
      <c r="D9977" s="102"/>
    </row>
    <row r="9978" spans="4:4" x14ac:dyDescent="0.25">
      <c r="D9978" s="102"/>
    </row>
    <row r="9979" spans="4:4" x14ac:dyDescent="0.25">
      <c r="D9979" s="102"/>
    </row>
    <row r="9980" spans="4:4" x14ac:dyDescent="0.25">
      <c r="D9980" s="102"/>
    </row>
    <row r="9981" spans="4:4" x14ac:dyDescent="0.25">
      <c r="D9981" s="102"/>
    </row>
    <row r="9982" spans="4:4" x14ac:dyDescent="0.25">
      <c r="D9982" s="102"/>
    </row>
    <row r="9983" spans="4:4" x14ac:dyDescent="0.25">
      <c r="D9983" s="102"/>
    </row>
    <row r="9984" spans="4:4" x14ac:dyDescent="0.25">
      <c r="D9984" s="102"/>
    </row>
    <row r="9985" spans="4:4" x14ac:dyDescent="0.25">
      <c r="D9985" s="102"/>
    </row>
    <row r="9986" spans="4:4" x14ac:dyDescent="0.25">
      <c r="D9986" s="102"/>
    </row>
    <row r="9987" spans="4:4" x14ac:dyDescent="0.25">
      <c r="D9987" s="102"/>
    </row>
    <row r="9988" spans="4:4" x14ac:dyDescent="0.25">
      <c r="D9988" s="102"/>
    </row>
    <row r="9989" spans="4:4" x14ac:dyDescent="0.25">
      <c r="D9989" s="102"/>
    </row>
    <row r="9990" spans="4:4" x14ac:dyDescent="0.25">
      <c r="D9990" s="102"/>
    </row>
    <row r="9991" spans="4:4" x14ac:dyDescent="0.25">
      <c r="D9991" s="102"/>
    </row>
    <row r="9992" spans="4:4" x14ac:dyDescent="0.25">
      <c r="D9992" s="102"/>
    </row>
    <row r="9993" spans="4:4" x14ac:dyDescent="0.25">
      <c r="D9993" s="102"/>
    </row>
    <row r="9994" spans="4:4" x14ac:dyDescent="0.25">
      <c r="D9994" s="102"/>
    </row>
    <row r="9995" spans="4:4" x14ac:dyDescent="0.25">
      <c r="D9995" s="102"/>
    </row>
    <row r="9996" spans="4:4" x14ac:dyDescent="0.25">
      <c r="D9996" s="102"/>
    </row>
    <row r="9997" spans="4:4" x14ac:dyDescent="0.25">
      <c r="D9997" s="102"/>
    </row>
    <row r="9998" spans="4:4" x14ac:dyDescent="0.25">
      <c r="D9998" s="102"/>
    </row>
    <row r="9999" spans="4:4" x14ac:dyDescent="0.25">
      <c r="D9999" s="102"/>
    </row>
    <row r="10000" spans="4:4" x14ac:dyDescent="0.25">
      <c r="D10000" s="102"/>
    </row>
    <row r="10001" spans="4:4" x14ac:dyDescent="0.25">
      <c r="D10001" s="102"/>
    </row>
    <row r="10002" spans="4:4" x14ac:dyDescent="0.25">
      <c r="D10002" s="102"/>
    </row>
    <row r="10003" spans="4:4" x14ac:dyDescent="0.25">
      <c r="D10003" s="102"/>
    </row>
    <row r="10004" spans="4:4" x14ac:dyDescent="0.25">
      <c r="D10004" s="102"/>
    </row>
    <row r="10005" spans="4:4" x14ac:dyDescent="0.25">
      <c r="D10005" s="102"/>
    </row>
    <row r="10006" spans="4:4" x14ac:dyDescent="0.25">
      <c r="D10006" s="102"/>
    </row>
    <row r="10007" spans="4:4" x14ac:dyDescent="0.25">
      <c r="D10007" s="102"/>
    </row>
    <row r="10008" spans="4:4" x14ac:dyDescent="0.25">
      <c r="D10008" s="102"/>
    </row>
    <row r="10009" spans="4:4" x14ac:dyDescent="0.25">
      <c r="D10009" s="102"/>
    </row>
    <row r="10010" spans="4:4" x14ac:dyDescent="0.25">
      <c r="D10010" s="102"/>
    </row>
    <row r="10011" spans="4:4" x14ac:dyDescent="0.25">
      <c r="D10011" s="102"/>
    </row>
    <row r="10012" spans="4:4" x14ac:dyDescent="0.25">
      <c r="D10012" s="102"/>
    </row>
    <row r="10013" spans="4:4" x14ac:dyDescent="0.25">
      <c r="D10013" s="102"/>
    </row>
    <row r="10014" spans="4:4" x14ac:dyDescent="0.25">
      <c r="D10014" s="102"/>
    </row>
    <row r="10015" spans="4:4" x14ac:dyDescent="0.25">
      <c r="D10015" s="102"/>
    </row>
    <row r="10016" spans="4:4" x14ac:dyDescent="0.25">
      <c r="D10016" s="102"/>
    </row>
    <row r="10017" spans="4:4" x14ac:dyDescent="0.25">
      <c r="D10017" s="102"/>
    </row>
    <row r="10018" spans="4:4" x14ac:dyDescent="0.25">
      <c r="D10018" s="102"/>
    </row>
    <row r="10019" spans="4:4" x14ac:dyDescent="0.25">
      <c r="D10019" s="102"/>
    </row>
    <row r="10020" spans="4:4" x14ac:dyDescent="0.25">
      <c r="D10020" s="102"/>
    </row>
    <row r="10021" spans="4:4" x14ac:dyDescent="0.25">
      <c r="D10021" s="102"/>
    </row>
    <row r="10022" spans="4:4" x14ac:dyDescent="0.25">
      <c r="D10022" s="102"/>
    </row>
    <row r="10023" spans="4:4" x14ac:dyDescent="0.25">
      <c r="D10023" s="102"/>
    </row>
    <row r="10024" spans="4:4" x14ac:dyDescent="0.25">
      <c r="D10024" s="102"/>
    </row>
    <row r="10025" spans="4:4" x14ac:dyDescent="0.25">
      <c r="D10025" s="102"/>
    </row>
    <row r="10026" spans="4:4" x14ac:dyDescent="0.25">
      <c r="D10026" s="102"/>
    </row>
    <row r="10027" spans="4:4" x14ac:dyDescent="0.25">
      <c r="D10027" s="102"/>
    </row>
    <row r="10028" spans="4:4" x14ac:dyDescent="0.25">
      <c r="D10028" s="102"/>
    </row>
    <row r="10029" spans="4:4" x14ac:dyDescent="0.25">
      <c r="D10029" s="102"/>
    </row>
    <row r="10030" spans="4:4" x14ac:dyDescent="0.25">
      <c r="D10030" s="102"/>
    </row>
    <row r="10031" spans="4:4" x14ac:dyDescent="0.25">
      <c r="D10031" s="102"/>
    </row>
    <row r="10032" spans="4:4" x14ac:dyDescent="0.25">
      <c r="D10032" s="102"/>
    </row>
    <row r="10033" spans="4:4" x14ac:dyDescent="0.25">
      <c r="D10033" s="102"/>
    </row>
  </sheetData>
  <mergeCells count="1">
    <mergeCell ref="B31:D3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39AB0-EFA7-D14C-B18D-A4D468ECF8B0}">
  <dimension ref="A1"/>
  <sheetViews>
    <sheetView workbookViewId="0">
      <selection activeCell="F33" sqref="F3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 Report</vt:lpstr>
      <vt:lpstr>Sunrise Financial Statement</vt:lpstr>
      <vt:lpstr>Data Descriptors</vt:lpstr>
      <vt:lpstr>FCF Monte Carlo Simulation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Kacey Chea</dc:creator>
  <cp:lastModifiedBy>Kacey Chea</cp:lastModifiedBy>
  <dcterms:created xsi:type="dcterms:W3CDTF">2025-10-03T07:10:45Z</dcterms:created>
  <dcterms:modified xsi:type="dcterms:W3CDTF">2025-11-10T00:27:41Z</dcterms:modified>
</cp:coreProperties>
</file>